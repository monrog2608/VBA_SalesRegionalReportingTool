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moni\OneDrive\Dokumenty\VBA\Main Project 2\"/>
    </mc:Choice>
  </mc:AlternateContent>
  <xr:revisionPtr revIDLastSave="0" documentId="13_ncr:1_{AB2E16D6-715D-4C9B-8881-AAE89992EAD8}" xr6:coauthVersionLast="47" xr6:coauthVersionMax="47" xr10:uidLastSave="{00000000-0000-0000-0000-000000000000}"/>
  <bookViews>
    <workbookView xWindow="-108" yWindow="-108" windowWidth="23256" windowHeight="12456" xr2:uid="{9278B15B-2841-4ADC-94B6-FC99BB34F9CD}"/>
  </bookViews>
  <sheets>
    <sheet name="Start" sheetId="1" r:id="rId1"/>
    <sheet name="Summary" sheetId="2" r:id="rId2"/>
    <sheet name="RegionTemp" sheetId="3" r:id="rId3"/>
    <sheet name="Map" sheetId="4" r:id="rId4"/>
    <sheet name="NewData" sheetId="5" r:id="rId5"/>
    <sheet name="Instructions" sheetId="6" r:id="rId6"/>
  </sheets>
  <definedNames>
    <definedName name="_xlnm._FilterDatabase" localSheetId="3" hidden="1">Map!$E$18:$E$19</definedName>
    <definedName name="MRegion">Map!$G$9:$G$10</definedName>
    <definedName name="TableTemp">RegionTemp!$A$2:$M$302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L3" i="3"/>
  <c r="L4" i="3"/>
  <c r="L5" i="3"/>
  <c r="L6" i="3"/>
  <c r="L7" i="3"/>
  <c r="L8" i="3"/>
  <c r="L9" i="3"/>
  <c r="M9" i="3" s="1"/>
  <c r="L10" i="3"/>
  <c r="L11" i="3"/>
  <c r="L12" i="3"/>
  <c r="L13" i="3"/>
  <c r="L14" i="3"/>
  <c r="L15" i="3"/>
  <c r="L16" i="3"/>
  <c r="L17" i="3"/>
  <c r="M17" i="3" s="1"/>
  <c r="L18" i="3"/>
  <c r="L19" i="3"/>
  <c r="L20" i="3"/>
  <c r="L21" i="3"/>
  <c r="L22" i="3"/>
  <c r="L23" i="3"/>
  <c r="L24" i="3"/>
  <c r="L25" i="3"/>
  <c r="M25" i="3" s="1"/>
  <c r="L26" i="3"/>
  <c r="L27" i="3"/>
  <c r="L28" i="3"/>
  <c r="L29" i="3"/>
  <c r="L30" i="3"/>
  <c r="L31" i="3"/>
  <c r="L32" i="3"/>
  <c r="L33" i="3"/>
  <c r="M33" i="3" s="1"/>
  <c r="L34" i="3"/>
  <c r="L35" i="3"/>
  <c r="L36" i="3"/>
  <c r="L37" i="3"/>
  <c r="L38" i="3"/>
  <c r="L39" i="3"/>
  <c r="L40" i="3"/>
  <c r="L41" i="3"/>
  <c r="M41" i="3" s="1"/>
  <c r="L42" i="3"/>
  <c r="L43" i="3"/>
  <c r="L44" i="3"/>
  <c r="L45" i="3"/>
  <c r="L46" i="3"/>
  <c r="L47" i="3"/>
  <c r="L48" i="3"/>
  <c r="L49" i="3"/>
  <c r="M49" i="3" s="1"/>
  <c r="L50" i="3"/>
  <c r="L51" i="3"/>
  <c r="L52" i="3"/>
  <c r="L53" i="3"/>
  <c r="L54" i="3"/>
  <c r="L55" i="3"/>
  <c r="L56" i="3"/>
  <c r="L57" i="3"/>
  <c r="M57" i="3" s="1"/>
  <c r="L58" i="3"/>
  <c r="L59" i="3"/>
  <c r="L60" i="3"/>
  <c r="L61" i="3"/>
  <c r="L62" i="3"/>
  <c r="L63" i="3"/>
  <c r="L64" i="3"/>
  <c r="L65" i="3"/>
  <c r="M65" i="3" s="1"/>
  <c r="L66" i="3"/>
  <c r="L67" i="3"/>
  <c r="L68" i="3"/>
  <c r="L69" i="3"/>
  <c r="L70" i="3"/>
  <c r="L71" i="3"/>
  <c r="L72" i="3"/>
  <c r="L73" i="3"/>
  <c r="M73" i="3" s="1"/>
  <c r="L74" i="3"/>
  <c r="L75" i="3"/>
  <c r="L76" i="3"/>
  <c r="L77" i="3"/>
  <c r="L78" i="3"/>
  <c r="L79" i="3"/>
  <c r="L80" i="3"/>
  <c r="L81" i="3"/>
  <c r="M81" i="3" s="1"/>
  <c r="L82" i="3"/>
  <c r="L83" i="3"/>
  <c r="L84" i="3"/>
  <c r="L85" i="3"/>
  <c r="L86" i="3"/>
  <c r="L87" i="3"/>
  <c r="L88" i="3"/>
  <c r="L89" i="3"/>
  <c r="M89" i="3" s="1"/>
  <c r="L90" i="3"/>
  <c r="L91" i="3"/>
  <c r="L92" i="3"/>
  <c r="L93" i="3"/>
  <c r="L94" i="3"/>
  <c r="L95" i="3"/>
  <c r="L96" i="3"/>
  <c r="L97" i="3"/>
  <c r="M97" i="3" s="1"/>
  <c r="L98" i="3"/>
  <c r="L99" i="3"/>
  <c r="L100" i="3"/>
  <c r="L101" i="3"/>
  <c r="L102" i="3"/>
  <c r="L103" i="3"/>
  <c r="L104" i="3"/>
  <c r="L105" i="3"/>
  <c r="M105" i="3" s="1"/>
  <c r="L106" i="3"/>
  <c r="L107" i="3"/>
  <c r="L108" i="3"/>
  <c r="L109" i="3"/>
  <c r="L110" i="3"/>
  <c r="L111" i="3"/>
  <c r="L112" i="3"/>
  <c r="L113" i="3"/>
  <c r="M113" i="3" s="1"/>
  <c r="L114" i="3"/>
  <c r="L115" i="3"/>
  <c r="L116" i="3"/>
  <c r="L117" i="3"/>
  <c r="L118" i="3"/>
  <c r="L119" i="3"/>
  <c r="L120" i="3"/>
  <c r="L121" i="3"/>
  <c r="M121" i="3" s="1"/>
  <c r="L122" i="3"/>
  <c r="L123" i="3"/>
  <c r="L124" i="3"/>
  <c r="L125" i="3"/>
  <c r="L126" i="3"/>
  <c r="L127" i="3"/>
  <c r="L128" i="3"/>
  <c r="L129" i="3"/>
  <c r="M129" i="3" s="1"/>
  <c r="L130" i="3"/>
  <c r="L131" i="3"/>
  <c r="L132" i="3"/>
  <c r="L133" i="3"/>
  <c r="L134" i="3"/>
  <c r="L135" i="3"/>
  <c r="L136" i="3"/>
  <c r="L137" i="3"/>
  <c r="M137" i="3" s="1"/>
  <c r="L138" i="3"/>
  <c r="L139" i="3"/>
  <c r="L140" i="3"/>
  <c r="L141" i="3"/>
  <c r="L142" i="3"/>
  <c r="L143" i="3"/>
  <c r="L144" i="3"/>
  <c r="L145" i="3"/>
  <c r="M145" i="3" s="1"/>
  <c r="L146" i="3"/>
  <c r="L147" i="3"/>
  <c r="L148" i="3"/>
  <c r="L149" i="3"/>
  <c r="L150" i="3"/>
  <c r="L151" i="3"/>
  <c r="L152" i="3"/>
  <c r="L153" i="3"/>
  <c r="M153" i="3" s="1"/>
  <c r="L154" i="3"/>
  <c r="L155" i="3"/>
  <c r="L156" i="3"/>
  <c r="L157" i="3"/>
  <c r="L158" i="3"/>
  <c r="L159" i="3"/>
  <c r="L160" i="3"/>
  <c r="L161" i="3"/>
  <c r="M161" i="3" s="1"/>
  <c r="L162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M2" i="3"/>
  <c r="M3" i="3"/>
  <c r="M4" i="3"/>
  <c r="M5" i="3"/>
  <c r="M6" i="3"/>
  <c r="M7" i="3"/>
  <c r="M8" i="3"/>
  <c r="M10" i="3"/>
  <c r="M11" i="3"/>
  <c r="M12" i="3"/>
  <c r="M13" i="3"/>
  <c r="M14" i="3"/>
  <c r="M15" i="3"/>
  <c r="M16" i="3"/>
  <c r="M18" i="3"/>
  <c r="M19" i="3"/>
  <c r="M20" i="3"/>
  <c r="M21" i="3"/>
  <c r="M22" i="3"/>
  <c r="M23" i="3"/>
  <c r="M24" i="3"/>
  <c r="M26" i="3"/>
  <c r="M27" i="3"/>
  <c r="M28" i="3"/>
  <c r="M29" i="3"/>
  <c r="M30" i="3"/>
  <c r="M31" i="3"/>
  <c r="M32" i="3"/>
  <c r="M34" i="3"/>
  <c r="M35" i="3"/>
  <c r="M36" i="3"/>
  <c r="M37" i="3"/>
  <c r="M38" i="3"/>
  <c r="M39" i="3"/>
  <c r="M40" i="3"/>
  <c r="M42" i="3"/>
  <c r="M43" i="3"/>
  <c r="M44" i="3"/>
  <c r="M45" i="3"/>
  <c r="M46" i="3"/>
  <c r="M47" i="3"/>
  <c r="M48" i="3"/>
  <c r="M50" i="3"/>
  <c r="M51" i="3"/>
  <c r="M52" i="3"/>
  <c r="M53" i="3"/>
  <c r="M54" i="3"/>
  <c r="M55" i="3"/>
  <c r="M56" i="3"/>
  <c r="M58" i="3"/>
  <c r="M59" i="3"/>
  <c r="M60" i="3"/>
  <c r="M61" i="3"/>
  <c r="M62" i="3"/>
  <c r="M63" i="3"/>
  <c r="M64" i="3"/>
  <c r="M66" i="3"/>
  <c r="M67" i="3"/>
  <c r="M68" i="3"/>
  <c r="M69" i="3"/>
  <c r="M70" i="3"/>
  <c r="M71" i="3"/>
  <c r="M72" i="3"/>
  <c r="M74" i="3"/>
  <c r="M75" i="3"/>
  <c r="M76" i="3"/>
  <c r="M77" i="3"/>
  <c r="M78" i="3"/>
  <c r="M79" i="3"/>
  <c r="M80" i="3"/>
  <c r="M82" i="3"/>
  <c r="M83" i="3"/>
  <c r="M84" i="3"/>
  <c r="M85" i="3"/>
  <c r="M86" i="3"/>
  <c r="M87" i="3"/>
  <c r="M88" i="3"/>
  <c r="M90" i="3"/>
  <c r="M91" i="3"/>
  <c r="M92" i="3"/>
  <c r="M93" i="3"/>
  <c r="M94" i="3"/>
  <c r="M95" i="3"/>
  <c r="M96" i="3"/>
  <c r="M98" i="3"/>
  <c r="M99" i="3"/>
  <c r="M100" i="3"/>
  <c r="M101" i="3"/>
  <c r="M102" i="3"/>
  <c r="M103" i="3"/>
  <c r="M104" i="3"/>
  <c r="M106" i="3"/>
  <c r="M107" i="3"/>
  <c r="M108" i="3"/>
  <c r="M109" i="3"/>
  <c r="M110" i="3"/>
  <c r="M111" i="3"/>
  <c r="M112" i="3"/>
  <c r="M114" i="3"/>
  <c r="M115" i="3"/>
  <c r="M116" i="3"/>
  <c r="M117" i="3"/>
  <c r="M118" i="3"/>
  <c r="M119" i="3"/>
  <c r="M120" i="3"/>
  <c r="M122" i="3"/>
  <c r="M123" i="3"/>
  <c r="M124" i="3"/>
  <c r="M125" i="3"/>
  <c r="M126" i="3"/>
  <c r="M127" i="3"/>
  <c r="M128" i="3"/>
  <c r="M130" i="3"/>
  <c r="M131" i="3"/>
  <c r="M132" i="3"/>
  <c r="M133" i="3"/>
  <c r="M134" i="3"/>
  <c r="M135" i="3"/>
  <c r="M136" i="3"/>
  <c r="M138" i="3"/>
  <c r="M139" i="3"/>
  <c r="M140" i="3"/>
  <c r="M141" i="3"/>
  <c r="M142" i="3"/>
  <c r="M143" i="3"/>
  <c r="M144" i="3"/>
  <c r="M146" i="3"/>
  <c r="M147" i="3"/>
  <c r="M148" i="3"/>
  <c r="M149" i="3"/>
  <c r="M150" i="3"/>
  <c r="M151" i="3"/>
  <c r="M152" i="3"/>
  <c r="M154" i="3"/>
  <c r="M155" i="3"/>
  <c r="M156" i="3"/>
  <c r="M157" i="3"/>
  <c r="M158" i="3"/>
  <c r="M159" i="3"/>
  <c r="M160" i="3"/>
  <c r="M162" i="3"/>
</calcChain>
</file>

<file path=xl/sharedStrings.xml><?xml version="1.0" encoding="utf-8"?>
<sst xmlns="http://schemas.openxmlformats.org/spreadsheetml/2006/main" count="464" uniqueCount="116">
  <si>
    <t>Company ID</t>
  </si>
  <si>
    <t>Sales Document</t>
  </si>
  <si>
    <t>Document Date</t>
  </si>
  <si>
    <t>Customer code</t>
  </si>
  <si>
    <t>Article code</t>
  </si>
  <si>
    <t>Reject</t>
  </si>
  <si>
    <t>Quantity</t>
  </si>
  <si>
    <t>Sales Value</t>
  </si>
  <si>
    <t>Master Data &amp;</t>
  </si>
  <si>
    <t>Mapping Table</t>
  </si>
  <si>
    <t>Company Mapping</t>
  </si>
  <si>
    <t>Company code</t>
  </si>
  <si>
    <t>Company Name</t>
  </si>
  <si>
    <t>Currency</t>
  </si>
  <si>
    <t>Region</t>
  </si>
  <si>
    <t>Regions</t>
  </si>
  <si>
    <t>1010US</t>
  </si>
  <si>
    <t>Urban Right</t>
  </si>
  <si>
    <t>USD</t>
  </si>
  <si>
    <t>America</t>
  </si>
  <si>
    <t>1020US</t>
  </si>
  <si>
    <t>Meta Creations</t>
  </si>
  <si>
    <t>Europe</t>
  </si>
  <si>
    <t>1030AT</t>
  </si>
  <si>
    <t>Bere Kleid</t>
  </si>
  <si>
    <t>EUR</t>
  </si>
  <si>
    <t>1040DE</t>
  </si>
  <si>
    <t>Lucas Basics</t>
  </si>
  <si>
    <t>Ship to Party Mapping</t>
  </si>
  <si>
    <t>Customer Name</t>
  </si>
  <si>
    <t>Dellicia</t>
  </si>
  <si>
    <t>Erma</t>
  </si>
  <si>
    <t>Edson</t>
  </si>
  <si>
    <t>Werner Strauss</t>
  </si>
  <si>
    <t>Aida GmbH</t>
  </si>
  <si>
    <t>Liebher</t>
  </si>
  <si>
    <t>Article Number Mapping</t>
  </si>
  <si>
    <t>Description</t>
  </si>
  <si>
    <t>Men type T simple white</t>
  </si>
  <si>
    <t>Men type T simple black</t>
  </si>
  <si>
    <t>Women type T simple white</t>
  </si>
  <si>
    <t>Women type T simple black</t>
  </si>
  <si>
    <t>Women crop top black</t>
  </si>
  <si>
    <t>Men basics</t>
  </si>
  <si>
    <t>Women basics</t>
  </si>
  <si>
    <t>Laptop bag black</t>
  </si>
  <si>
    <t>Laptop bag red</t>
  </si>
  <si>
    <t>Smartphone case diamond</t>
  </si>
  <si>
    <t>Smartphone case simple</t>
  </si>
  <si>
    <t>Men dress shirt white</t>
  </si>
  <si>
    <t>Men dress shirt black</t>
  </si>
  <si>
    <t>Men dress shirt grey</t>
  </si>
  <si>
    <t>Unisex tank top black</t>
  </si>
  <si>
    <t>Unisex tank top white</t>
  </si>
  <si>
    <t>Men shorts grey</t>
  </si>
  <si>
    <t>Men shorts black</t>
  </si>
  <si>
    <t>Women evening dress long black</t>
  </si>
  <si>
    <t>Women evening dress Cocktail red</t>
  </si>
  <si>
    <t>Average monthly exchange rates</t>
  </si>
  <si>
    <t>Month</t>
  </si>
  <si>
    <t>EUR to $</t>
  </si>
  <si>
    <t>Imagine this Situation…</t>
  </si>
  <si>
    <t>- You are a Sales Controller working at the headquarters of Urban Creations.</t>
  </si>
  <si>
    <t>- Urban Creations owns 4 companies. 2 are in the USA and 2 are in Europe.</t>
  </si>
  <si>
    <t>- At the end of each month you receive system extracts for each company that covers some key sales &amp; customer parameters.</t>
  </si>
  <si>
    <t>- Based on this data, you need to create the following Monthly Reports:</t>
  </si>
  <si>
    <t>• An interactive Pivot based regional report for the regional managers of USA and Europe</t>
  </si>
  <si>
    <t>• A hard coded regional overview report for top management</t>
  </si>
  <si>
    <t>- In addition to this, you need to generate a CSV file of all the data to be loaded to your central ERP system for year-to-date reporting.</t>
  </si>
  <si>
    <t>Your Challenge</t>
  </si>
  <si>
    <t>1. There are two USA and two European companies. You need to get all the information in one place.</t>
  </si>
  <si>
    <t>2. The data extract you receive uses codes. The managers want to see the description and not the code.</t>
  </si>
  <si>
    <t>3. You need to combine the data for each region and create a separate Excel report for it.</t>
  </si>
  <si>
    <t>4. Regional managers would like to have Pivot based reports so they can slice and dice through the information (macro free workbook).</t>
  </si>
  <si>
    <t>5. Top management would like to have a one-pager report that is hardcoded (macro free workbook).</t>
  </si>
  <si>
    <t>6. You need to split each region to it's own file. European Regional managers should not see the US data</t>
  </si>
  <si>
    <t>7. You need to get all the data in CSV format and save it on the directory.</t>
  </si>
  <si>
    <t xml:space="preserve">8. Since these are a lot of tasks, and data for each company might come in at different points, you'd like to keep track </t>
  </si>
  <si>
    <t>of which tasks you've already completed.</t>
  </si>
  <si>
    <t>Aim of the tool</t>
  </si>
  <si>
    <t xml:space="preserve">There is a lot of copying, pasting, looking up values from master data (i.e. mapping codes to get descriptions). </t>
  </si>
  <si>
    <t>All of this will cost you a lot of time if done manually (possibly around 4 hours - plus data changes are not uncommon)</t>
  </si>
  <si>
    <t>Sometimes you have to repeat the whole process because wrong data was sent;</t>
  </si>
  <si>
    <t>… and sometimes you might make mistakes…. (after all the task is a bit boring…)</t>
  </si>
  <si>
    <t>The tool should automate the entire process to 2 minutes - even with data changes.</t>
  </si>
  <si>
    <r>
      <t>Time savings:</t>
    </r>
    <r>
      <rPr>
        <sz val="11"/>
        <color rgb="FF92D050"/>
        <rFont val="Arial"/>
        <family val="2"/>
      </rPr>
      <t xml:space="preserve"> 4 plus hours</t>
    </r>
  </si>
  <si>
    <r>
      <t xml:space="preserve">Frustration because data was updated after sending (you had to repeat the process): </t>
    </r>
    <r>
      <rPr>
        <sz val="11"/>
        <color rgb="FF92D050"/>
        <rFont val="Arial"/>
        <family val="2"/>
      </rPr>
      <t>Eliminated</t>
    </r>
  </si>
  <si>
    <r>
      <t xml:space="preserve">Possibility of manual mistakes due to boredom: </t>
    </r>
    <r>
      <rPr>
        <sz val="11"/>
        <color rgb="FF92D050"/>
        <rFont val="Arial"/>
        <family val="2"/>
      </rPr>
      <t>Eliminated</t>
    </r>
  </si>
  <si>
    <t>Internal code</t>
  </si>
  <si>
    <t/>
  </si>
  <si>
    <t>Sales Local Currency</t>
  </si>
  <si>
    <t>Article Description</t>
  </si>
  <si>
    <t>Sales US Dollar</t>
  </si>
  <si>
    <t>Row Labels</t>
  </si>
  <si>
    <t>Grand Total</t>
  </si>
  <si>
    <t>Sum of Sales US Dollar</t>
  </si>
  <si>
    <t>Sum of Quantity</t>
  </si>
  <si>
    <t>Tasks Completed</t>
  </si>
  <si>
    <t>Company</t>
  </si>
  <si>
    <t>Customer Code</t>
  </si>
  <si>
    <t>Regional Sales by Customer</t>
  </si>
  <si>
    <t>Article Overview by Company</t>
  </si>
  <si>
    <t>Regional Overview</t>
  </si>
  <si>
    <t>Sum of Sales US Dollar2</t>
  </si>
  <si>
    <t>Count of Reject</t>
  </si>
  <si>
    <t>C11</t>
  </si>
  <si>
    <t>C14</t>
  </si>
  <si>
    <t>C19</t>
  </si>
  <si>
    <t>C18</t>
  </si>
  <si>
    <t>C10</t>
  </si>
  <si>
    <t>C17</t>
  </si>
  <si>
    <t>C13</t>
  </si>
  <si>
    <t>C16</t>
  </si>
  <si>
    <t>C12</t>
  </si>
  <si>
    <t>C20</t>
  </si>
  <si>
    <t>C15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</si>
</sst>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A31515"/>
      <name val="Consolas"/>
      <family val="3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1"/>
      <color rgb="FFFFFFFF"/>
      <name val="Arial"/>
      <family val="2"/>
    </font>
    <font>
      <b/>
      <sz val="11"/>
      <name val="Arial"/>
      <family val="2"/>
    </font>
    <font>
      <sz val="8"/>
      <color rgb="FF000000"/>
      <name val="Arial"/>
      <family val="2"/>
    </font>
    <font>
      <b/>
      <sz val="14"/>
      <color rgb="FF000000"/>
      <name val="Arial"/>
      <family val="2"/>
    </font>
    <font>
      <sz val="10"/>
      <color rgb="FF2F75B5"/>
      <name val="Arial"/>
      <family val="2"/>
    </font>
    <font>
      <sz val="11"/>
      <color rgb="FF000000"/>
      <name val="Arial"/>
      <family val="2"/>
    </font>
    <font>
      <sz val="11"/>
      <color rgb="FF92D050"/>
      <name val="Arial"/>
      <family val="2"/>
    </font>
    <font>
      <b/>
      <sz val="10"/>
      <color theme="1"/>
      <name val="Arial"/>
      <family val="2"/>
      <charset val="238"/>
    </font>
    <font>
      <sz val="11"/>
      <color rgb="FF000000"/>
      <name val="Calibri"/>
      <family val="2"/>
      <charset val="238"/>
    </font>
    <font>
      <b/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48235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44546A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499984740745262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 wrapText="1"/>
    </xf>
    <xf numFmtId="0" fontId="4" fillId="0" borderId="0" xfId="0" applyFont="1"/>
    <xf numFmtId="0" fontId="1" fillId="3" borderId="0" xfId="0" applyFont="1" applyFill="1"/>
    <xf numFmtId="0" fontId="5" fillId="3" borderId="0" xfId="0" applyFont="1" applyFill="1"/>
    <xf numFmtId="0" fontId="1" fillId="0" borderId="1" xfId="0" applyFont="1" applyBorder="1"/>
    <xf numFmtId="49" fontId="6" fillId="4" borderId="0" xfId="0" applyNumberFormat="1" applyFont="1" applyFill="1" applyAlignment="1">
      <alignment horizontal="left" vertical="center" wrapText="1"/>
    </xf>
    <xf numFmtId="0" fontId="5" fillId="5" borderId="2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/>
    <xf numFmtId="0" fontId="1" fillId="6" borderId="0" xfId="0" applyFont="1" applyFill="1"/>
    <xf numFmtId="0" fontId="1" fillId="7" borderId="2" xfId="0" applyFont="1" applyFill="1" applyBorder="1"/>
    <xf numFmtId="0" fontId="8" fillId="7" borderId="3" xfId="0" quotePrefix="1" applyFont="1" applyFill="1" applyBorder="1"/>
    <xf numFmtId="0" fontId="8" fillId="7" borderId="3" xfId="0" applyFont="1" applyFill="1" applyBorder="1"/>
    <xf numFmtId="0" fontId="1" fillId="7" borderId="3" xfId="0" applyFont="1" applyFill="1" applyBorder="1"/>
    <xf numFmtId="0" fontId="1" fillId="7" borderId="3" xfId="0" quotePrefix="1" applyFont="1" applyFill="1" applyBorder="1"/>
    <xf numFmtId="0" fontId="1" fillId="7" borderId="3" xfId="0" applyFont="1" applyFill="1" applyBorder="1" applyAlignment="1">
      <alignment horizontal="left" indent="2"/>
    </xf>
    <xf numFmtId="0" fontId="1" fillId="7" borderId="2" xfId="0" quotePrefix="1" applyFont="1" applyFill="1" applyBorder="1"/>
    <xf numFmtId="0" fontId="1" fillId="7" borderId="3" xfId="0" applyFont="1" applyFill="1" applyBorder="1" applyAlignment="1">
      <alignment horizontal="left" indent="1"/>
    </xf>
    <xf numFmtId="0" fontId="1" fillId="7" borderId="0" xfId="0" applyFont="1" applyFill="1"/>
    <xf numFmtId="0" fontId="9" fillId="7" borderId="3" xfId="0" applyFont="1" applyFill="1" applyBorder="1"/>
    <xf numFmtId="0" fontId="10" fillId="7" borderId="3" xfId="0" applyFont="1" applyFill="1" applyBorder="1"/>
    <xf numFmtId="0" fontId="1" fillId="7" borderId="4" xfId="0" applyFont="1" applyFill="1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  <xf numFmtId="0" fontId="14" fillId="8" borderId="0" xfId="0" applyFont="1" applyFill="1" applyAlignment="1">
      <alignment horizontal="center" vertical="center" wrapText="1"/>
    </xf>
    <xf numFmtId="0" fontId="0" fillId="9" borderId="0" xfId="0" applyFill="1"/>
    <xf numFmtId="0" fontId="15" fillId="9" borderId="0" xfId="0" applyFont="1" applyFill="1" applyAlignment="1">
      <alignment horizontal="left" vertical="center"/>
    </xf>
    <xf numFmtId="0" fontId="15" fillId="9" borderId="0" xfId="0" applyFont="1" applyFill="1"/>
    <xf numFmtId="0" fontId="15" fillId="9" borderId="0" xfId="0" applyFont="1" applyFill="1" applyAlignment="1">
      <alignment horizontal="center" vertical="center"/>
    </xf>
    <xf numFmtId="0" fontId="15" fillId="0" borderId="0" xfId="0" applyFont="1"/>
    <xf numFmtId="0" fontId="16" fillId="9" borderId="0" xfId="0" applyFont="1" applyFill="1"/>
    <xf numFmtId="0" fontId="17" fillId="0" borderId="0" xfId="0" applyFont="1"/>
    <xf numFmtId="2" fontId="0" fillId="0" borderId="0" xfId="0" applyNumberFormat="1"/>
    <xf numFmtId="0" fontId="0" fillId="0" borderId="5" xfId="0" applyBorder="1"/>
    <xf numFmtId="0" fontId="0" fillId="0" borderId="6" xfId="0" applyBorder="1"/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left"/>
    </xf>
  </cellXfs>
  <cellStyles count="1">
    <cellStyle name="Normal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numFmt numFmtId="19" formatCode="m/d/yyyy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</dxf>
    <dxf>
      <numFmt numFmtId="164" formatCode="&quot;$&quot;#,##0"/>
    </dxf>
    <dxf>
      <border>
        <bottom style="medium">
          <color auto="1"/>
        </bottom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top style="thin">
          <color theme="1" tint="0.499984740745262"/>
        </top>
        <bottom style="thin">
          <color theme="1" tint="0.499984740745262"/>
        </bottom>
        <vertical style="thick">
          <color theme="0"/>
        </vertical>
      </border>
    </dxf>
    <dxf>
      <border>
        <top/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/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/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border>
        <top/>
        <bottom style="thin">
          <color theme="1" tint="0.499984740745262"/>
        </bottom>
      </border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vertical style="thick">
          <color theme="0"/>
        </vertical>
        <horizontal style="thin">
          <color theme="0" tint="-0.14999847407452621"/>
        </horizontal>
      </border>
    </dxf>
  </dxfs>
  <tableStyles count="3" defaultTableStyle="TableStyleMedium2" defaultPivotStyle="PivotStyleLight16">
    <tableStyle name="MyPivotStyle" table="0" count="11" xr9:uid="{53CFC2A5-D677-48BB-BF19-A0FBA3EF2646}">
      <tableStyleElement type="wholeTable" dxfId="31"/>
      <tableStyleElement type="headerRow" dxfId="30"/>
      <tableStyleElement type="totalRow" dxfId="29"/>
      <tableStyleElement type="firstRowStripe" dxfId="28"/>
      <tableStyleElement type="firstColumnStripe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MySlicer" pivot="0" table="0" count="10" xr9:uid="{61F2C74A-C137-4C5A-99A3-E802F8BA6403}">
      <tableStyleElement type="wholeTable" dxfId="20"/>
      <tableStyleElement type="headerRow" dxfId="19"/>
    </tableStyle>
    <tableStyle name="Table Style 1" pivot="0" count="1" xr9:uid="{E5838525-7CE5-4F59-AEE8-EABC3B28E21E}">
      <tableStyleElement type="wholeTable" dxfId="1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8168889431442"/>
              <bgColor theme="6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 tint="0.59999389629810485"/>
              <bgColor theme="1" tint="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BFBFB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y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320386</xdr:colOff>
      <xdr:row>0</xdr:row>
      <xdr:rowOff>77933</xdr:rowOff>
    </xdr:from>
    <xdr:ext cx="2260023" cy="3203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932766" y="77933"/>
          <a:ext cx="2260023" cy="320386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Matura MT Script Capitals" panose="03020802060602070202" pitchFamily="66" charset="0"/>
              <a:ea typeface="+mn-ea"/>
              <a:cs typeface="+mn-cs"/>
            </a:rPr>
            <a:t>Urban Creations</a:t>
          </a:r>
        </a:p>
      </xdr:txBody>
    </xdr:sp>
    <xdr:clientData/>
  </xdr:oneCellAnchor>
  <xdr:oneCellAnchor>
    <xdr:from>
      <xdr:col>0</xdr:col>
      <xdr:colOff>251113</xdr:colOff>
      <xdr:row>0</xdr:row>
      <xdr:rowOff>112568</xdr:rowOff>
    </xdr:from>
    <xdr:ext cx="4788478" cy="2988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1113" y="112568"/>
          <a:ext cx="4788478" cy="298800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rPr>
            <a:t>Monthly Sales Reporting Data Preparation Template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11</xdr:row>
          <xdr:rowOff>114300</xdr:rowOff>
        </xdr:from>
        <xdr:to>
          <xdr:col>3</xdr:col>
          <xdr:colOff>426720</xdr:colOff>
          <xdr:row>14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Import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</xdr:colOff>
          <xdr:row>13</xdr:row>
          <xdr:rowOff>22860</xdr:rowOff>
        </xdr:from>
        <xdr:to>
          <xdr:col>6</xdr:col>
          <xdr:colOff>647700</xdr:colOff>
          <xdr:row>14</xdr:row>
          <xdr:rowOff>76200</xdr:rowOff>
        </xdr:to>
        <xdr:sp macro="" textlink="">
          <xdr:nvSpPr>
            <xdr:cNvPr id="1026" name="AxReg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11</xdr:row>
          <xdr:rowOff>7620</xdr:rowOff>
        </xdr:from>
        <xdr:to>
          <xdr:col>7</xdr:col>
          <xdr:colOff>266700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11</xdr:row>
          <xdr:rowOff>99060</xdr:rowOff>
        </xdr:from>
        <xdr:to>
          <xdr:col>11</xdr:col>
          <xdr:colOff>457200</xdr:colOff>
          <xdr:row>14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16</xdr:row>
          <xdr:rowOff>0</xdr:rowOff>
        </xdr:from>
        <xdr:to>
          <xdr:col>16</xdr:col>
          <xdr:colOff>53340</xdr:colOff>
          <xdr:row>19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values &amp; tasks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83820</xdr:colOff>
      <xdr:row>2</xdr:row>
      <xdr:rowOff>106680</xdr:rowOff>
    </xdr:from>
    <xdr:to>
      <xdr:col>3</xdr:col>
      <xdr:colOff>434340</xdr:colOff>
      <xdr:row>10</xdr:row>
      <xdr:rowOff>114300</xdr:rowOff>
    </xdr:to>
    <xdr:sp macro="" textlink="">
      <xdr:nvSpPr>
        <xdr:cNvPr id="2" name="Rectangle: Top Corners One Rounded and One Snippe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8140" y="617220"/>
          <a:ext cx="2339340" cy="1348740"/>
        </a:xfrm>
        <a:prstGeom prst="snipRoundRect">
          <a:avLst/>
        </a:prstGeom>
        <a:solidFill>
          <a:schemeClr val="bg2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bg1"/>
              </a:solidFill>
              <a:latin typeface="+mn-lt"/>
            </a:rPr>
            <a:t>Import Sales data from Sales Document</a:t>
          </a:r>
          <a:r>
            <a:rPr lang="en-GB" sz="1200" baseline="0">
              <a:solidFill>
                <a:schemeClr val="bg1"/>
              </a:solidFill>
              <a:latin typeface="+mn-lt"/>
            </a:rPr>
            <a:t> templated for one or more companies in one go. (Note: Browse and find the files - file names starts with "Sales_Document_xxx"</a:t>
          </a:r>
          <a:endParaRPr lang="en-GB" sz="120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1</xdr:col>
      <xdr:colOff>0</xdr:colOff>
      <xdr:row>10</xdr:row>
      <xdr:rowOff>53340</xdr:rowOff>
    </xdr:from>
    <xdr:to>
      <xdr:col>2</xdr:col>
      <xdr:colOff>289560</xdr:colOff>
      <xdr:row>15</xdr:row>
      <xdr:rowOff>91440</xdr:rowOff>
    </xdr:to>
    <xdr:pic macro="[0]!Import_Sales">
      <xdr:nvPicPr>
        <xdr:cNvPr id="3" name="Graphic 2" descr="Open Fol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320" y="1905000"/>
          <a:ext cx="914400" cy="876300"/>
        </a:xfrm>
        <a:prstGeom prst="rect">
          <a:avLst/>
        </a:prstGeom>
      </xdr:spPr>
    </xdr:pic>
    <xdr:clientData/>
  </xdr:twoCellAnchor>
  <xdr:twoCellAnchor>
    <xdr:from>
      <xdr:col>4</xdr:col>
      <xdr:colOff>60960</xdr:colOff>
      <xdr:row>2</xdr:row>
      <xdr:rowOff>99060</xdr:rowOff>
    </xdr:from>
    <xdr:to>
      <xdr:col>8</xdr:col>
      <xdr:colOff>175260</xdr:colOff>
      <xdr:row>10</xdr:row>
      <xdr:rowOff>106680</xdr:rowOff>
    </xdr:to>
    <xdr:sp macro="" textlink="">
      <xdr:nvSpPr>
        <xdr:cNvPr id="7" name="Rectangle: Top Corners One Rounded and One Snippe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48940" y="609600"/>
          <a:ext cx="2339340" cy="1348740"/>
        </a:xfrm>
        <a:prstGeom prst="snipRoundRect">
          <a:avLst/>
        </a:prstGeom>
        <a:solidFill>
          <a:schemeClr val="bg2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bg1"/>
              </a:solidFill>
              <a:latin typeface="+mn-lt"/>
            </a:rPr>
            <a:t>Generate the Regional</a:t>
          </a:r>
          <a:r>
            <a:rPr lang="en-GB" sz="1200" baseline="0">
              <a:solidFill>
                <a:schemeClr val="bg1"/>
              </a:solidFill>
              <a:latin typeface="+mn-lt"/>
            </a:rPr>
            <a:t> &amp; Manager Reports for each region. (Create a pivot based Excel file for Regional managers and a hardcoded file for Top managers)</a:t>
          </a:r>
          <a:endParaRPr lang="en-GB" sz="120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3</xdr:col>
      <xdr:colOff>502920</xdr:colOff>
      <xdr:row>10</xdr:row>
      <xdr:rowOff>99060</xdr:rowOff>
    </xdr:from>
    <xdr:to>
      <xdr:col>5</xdr:col>
      <xdr:colOff>388620</xdr:colOff>
      <xdr:row>15</xdr:row>
      <xdr:rowOff>38100</xdr:rowOff>
    </xdr:to>
    <xdr:pic macro="[0]!Create_Reports">
      <xdr:nvPicPr>
        <xdr:cNvPr id="8" name="Graphic 7" descr="Closed Book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66060" y="1950720"/>
          <a:ext cx="914400" cy="777240"/>
        </a:xfrm>
        <a:prstGeom prst="rect">
          <a:avLst/>
        </a:prstGeom>
      </xdr:spPr>
    </xdr:pic>
    <xdr:clientData/>
  </xdr:twoCellAnchor>
  <xdr:twoCellAnchor>
    <xdr:from>
      <xdr:col>8</xdr:col>
      <xdr:colOff>388620</xdr:colOff>
      <xdr:row>2</xdr:row>
      <xdr:rowOff>83820</xdr:rowOff>
    </xdr:from>
    <xdr:to>
      <xdr:col>12</xdr:col>
      <xdr:colOff>228600</xdr:colOff>
      <xdr:row>10</xdr:row>
      <xdr:rowOff>91440</xdr:rowOff>
    </xdr:to>
    <xdr:sp macro="" textlink="">
      <xdr:nvSpPr>
        <xdr:cNvPr id="10" name="Rectangle: Top Corners One Rounded and One Snippe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501640" y="594360"/>
          <a:ext cx="2339340" cy="1348740"/>
        </a:xfrm>
        <a:prstGeom prst="snipRoundRect">
          <a:avLst/>
        </a:prstGeom>
        <a:solidFill>
          <a:schemeClr val="bg2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bg1"/>
              </a:solidFill>
              <a:latin typeface="+mn-lt"/>
            </a:rPr>
            <a:t>Create</a:t>
          </a:r>
          <a:r>
            <a:rPr lang="en-GB" sz="1200" baseline="0">
              <a:solidFill>
                <a:schemeClr val="bg1"/>
              </a:solidFill>
              <a:latin typeface="+mn-lt"/>
            </a:rPr>
            <a:t> CSV file of ALL data for the current month to be uploaded to the central system for year-to-date reporting (e.g. SAP)</a:t>
          </a:r>
          <a:endParaRPr lang="en-GB" sz="120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594360</xdr:colOff>
      <xdr:row>10</xdr:row>
      <xdr:rowOff>83820</xdr:rowOff>
    </xdr:from>
    <xdr:to>
      <xdr:col>10</xdr:col>
      <xdr:colOff>147762</xdr:colOff>
      <xdr:row>15</xdr:row>
      <xdr:rowOff>15240</xdr:rowOff>
    </xdr:to>
    <xdr:pic macro="[0]!Create_CSV">
      <xdr:nvPicPr>
        <xdr:cNvPr id="11" name="Graphic 10" descr="Hammer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07380" y="1935480"/>
          <a:ext cx="803082" cy="769620"/>
        </a:xfrm>
        <a:prstGeom prst="rect">
          <a:avLst/>
        </a:prstGeom>
      </xdr:spPr>
    </xdr:pic>
    <xdr:clientData/>
  </xdr:twoCellAnchor>
  <xdr:twoCellAnchor>
    <xdr:from>
      <xdr:col>12</xdr:col>
      <xdr:colOff>464820</xdr:colOff>
      <xdr:row>2</xdr:row>
      <xdr:rowOff>91440</xdr:rowOff>
    </xdr:from>
    <xdr:to>
      <xdr:col>16</xdr:col>
      <xdr:colOff>304800</xdr:colOff>
      <xdr:row>10</xdr:row>
      <xdr:rowOff>99060</xdr:rowOff>
    </xdr:to>
    <xdr:sp macro="" textlink="">
      <xdr:nvSpPr>
        <xdr:cNvPr id="13" name="Rectangle: Top Corners One Rounded and One Snipped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077200" y="601980"/>
          <a:ext cx="2339340" cy="1348740"/>
        </a:xfrm>
        <a:prstGeom prst="snipRoundRect">
          <a:avLst/>
        </a:prstGeom>
        <a:solidFill>
          <a:schemeClr val="bg2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bg1"/>
              </a:solidFill>
              <a:latin typeface="+mn-lt"/>
            </a:rPr>
            <a:t>Before working on the next month's data,</a:t>
          </a:r>
          <a:r>
            <a:rPr lang="en-GB" sz="1200" baseline="0">
              <a:solidFill>
                <a:schemeClr val="bg1"/>
              </a:solidFill>
              <a:latin typeface="+mn-lt"/>
            </a:rPr>
            <a:t> clear values and start fresh.</a:t>
          </a:r>
        </a:p>
        <a:p>
          <a:pPr algn="l"/>
          <a:r>
            <a:rPr lang="en-GB" sz="1200" baseline="0">
              <a:solidFill>
                <a:schemeClr val="bg1"/>
              </a:solidFill>
              <a:latin typeface="+mn-lt"/>
            </a:rPr>
            <a:t>Admin - opens up the hidden tabs in case problems arise. (Note: Password = me)</a:t>
          </a:r>
          <a:endParaRPr lang="en-GB" sz="120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12</xdr:col>
      <xdr:colOff>472440</xdr:colOff>
      <xdr:row>15</xdr:row>
      <xdr:rowOff>30480</xdr:rowOff>
    </xdr:from>
    <xdr:to>
      <xdr:col>13</xdr:col>
      <xdr:colOff>579120</xdr:colOff>
      <xdr:row>19</xdr:row>
      <xdr:rowOff>91440</xdr:rowOff>
    </xdr:to>
    <xdr:pic macro="[0]!Clear_OldMonth">
      <xdr:nvPicPr>
        <xdr:cNvPr id="15" name="Graphic 14" descr="Mop and bucket with solid fill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84820" y="2720340"/>
          <a:ext cx="731520" cy="7315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472440</xdr:colOff>
          <xdr:row>12</xdr:row>
          <xdr:rowOff>7620</xdr:rowOff>
        </xdr:from>
        <xdr:to>
          <xdr:col>16</xdr:col>
          <xdr:colOff>83820</xdr:colOff>
          <xdr:row>14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</xdr:colOff>
      <xdr:row>11</xdr:row>
      <xdr:rowOff>45720</xdr:rowOff>
    </xdr:from>
    <xdr:to>
      <xdr:col>14</xdr:col>
      <xdr:colOff>114300</xdr:colOff>
      <xdr:row>15</xdr:row>
      <xdr:rowOff>53340</xdr:rowOff>
    </xdr:to>
    <xdr:pic macro="[0]!Admin_Tasks">
      <xdr:nvPicPr>
        <xdr:cNvPr id="16" name="Graphic 15" descr="Key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298180" y="2065020"/>
          <a:ext cx="678180" cy="6781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</xdr:colOff>
      <xdr:row>0</xdr:row>
      <xdr:rowOff>109538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03822" y="109538"/>
          <a:ext cx="1496179" cy="387286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2000" b="0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85000"/>
                </a:sysClr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rPr>
            <a:t>Instructions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ika Rogowska" refreshedDate="45043.588427893519" createdVersion="8" refreshedVersion="8" minRefreshableVersion="3" recordCount="161" xr:uid="{39E4200A-C7BE-4CDD-B407-4C645E7D6655}">
  <cacheSource type="worksheet">
    <worksheetSource name="TableTemp2"/>
  </cacheSource>
  <cacheFields count="13">
    <cacheField name="Company" numFmtId="0">
      <sharedItems/>
    </cacheField>
    <cacheField name="Sales Document" numFmtId="0">
      <sharedItems containsSemiMixedTypes="0" containsString="0" containsNumber="1" containsInteger="1" minValue="24030" maxValue="88666"/>
    </cacheField>
    <cacheField name="Document Date" numFmtId="14">
      <sharedItems containsSemiMixedTypes="0" containsNonDate="0" containsDate="1" containsString="0" minDate="2018-10-02T00:00:00" maxDate="2018-10-27T00:00:00"/>
    </cacheField>
    <cacheField name="Customer Code" numFmtId="0">
      <sharedItems containsSemiMixedTypes="0" containsString="0" containsNumber="1" containsInteger="1" minValue="8010" maxValue="8060"/>
    </cacheField>
    <cacheField name="Article code" numFmtId="0">
      <sharedItems containsSemiMixedTypes="0" containsString="0" containsNumber="1" containsInteger="1" minValue="101" maxValue="120"/>
    </cacheField>
    <cacheField name="Reject" numFmtId="0">
      <sharedItems containsBlank="1" containsMixedTypes="1" containsNumber="1" containsInteger="1" minValue="1" maxValue="6"/>
    </cacheField>
    <cacheField name="Quantity" numFmtId="0">
      <sharedItems containsSemiMixedTypes="0" containsString="0" containsNumber="1" containsInteger="1" minValue="10" maxValue="870"/>
    </cacheField>
    <cacheField name="Sales Local Currency" numFmtId="0">
      <sharedItems containsSemiMixedTypes="0" containsString="0" containsNumber="1" containsInteger="1" minValue="100" maxValue="53320"/>
    </cacheField>
    <cacheField name="Company Name" numFmtId="0">
      <sharedItems/>
    </cacheField>
    <cacheField name="Customer Name" numFmtId="0">
      <sharedItems count="6">
        <s v="Erma"/>
        <s v="Dellicia"/>
        <s v="Aida GmbH"/>
        <s v="Werner Strauss"/>
        <s v="Edson"/>
        <s v="Liebher"/>
      </sharedItems>
    </cacheField>
    <cacheField name="Article Description" numFmtId="0">
      <sharedItems count="19">
        <s v="Men type T simple white"/>
        <s v="Men type T simple black"/>
        <s v="Men basics"/>
        <s v="Laptop bag black"/>
        <s v="Men dress shirt black"/>
        <s v="Men dress shirt grey"/>
        <s v="Men shorts grey"/>
        <s v="Men shorts black"/>
        <s v="Unisex tank top white"/>
        <s v="Women evening dress Cocktail red"/>
        <s v="Women type T simple black"/>
        <s v="Women crop top black"/>
        <s v="Women basics"/>
        <s v="Smartphone case diamond"/>
        <s v="Women evening dress long black"/>
        <s v="Smartphone case simple"/>
        <s v="Laptop bag red"/>
        <s v="Women type T simple white"/>
        <s v="Unisex tank top black"/>
      </sharedItems>
    </cacheField>
    <cacheField name="Currency" numFmtId="0">
      <sharedItems/>
    </cacheField>
    <cacheField name="Sales US Dollar" numFmtId="2">
      <sharedItems containsSemiMixedTypes="0" containsString="0" containsNumber="1" containsInteger="1" minValue="100" maxValue="533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">
  <r>
    <s v="1020US"/>
    <n v="24030"/>
    <d v="2018-10-02T00:00:00"/>
    <n v="8020"/>
    <n v="101"/>
    <n v="1"/>
    <n v="130"/>
    <n v="1560"/>
    <s v="Meta Creations"/>
    <x v="0"/>
    <x v="0"/>
    <s v="USD"/>
    <n v="1560"/>
  </r>
  <r>
    <s v="1020US"/>
    <n v="24030"/>
    <d v="2018-10-02T00:00:00"/>
    <n v="8020"/>
    <n v="102"/>
    <m/>
    <n v="30"/>
    <n v="360"/>
    <s v="Meta Creations"/>
    <x v="0"/>
    <x v="1"/>
    <s v="USD"/>
    <n v="360"/>
  </r>
  <r>
    <s v="1020US"/>
    <n v="24030"/>
    <d v="2018-10-02T00:00:00"/>
    <n v="8020"/>
    <n v="106"/>
    <s v=""/>
    <n v="60"/>
    <n v="300"/>
    <s v="Meta Creations"/>
    <x v="0"/>
    <x v="2"/>
    <s v="USD"/>
    <n v="300"/>
  </r>
  <r>
    <s v="1020US"/>
    <n v="24030"/>
    <d v="2018-10-02T00:00:00"/>
    <n v="8020"/>
    <n v="108"/>
    <m/>
    <n v="80"/>
    <n v="2240"/>
    <s v="Meta Creations"/>
    <x v="0"/>
    <x v="3"/>
    <s v="USD"/>
    <n v="2240"/>
  </r>
  <r>
    <s v="1020US"/>
    <n v="24031"/>
    <d v="2018-10-08T00:00:00"/>
    <n v="8020"/>
    <n v="101"/>
    <s v=""/>
    <n v="100"/>
    <n v="1200"/>
    <s v="Meta Creations"/>
    <x v="0"/>
    <x v="0"/>
    <s v="USD"/>
    <n v="1200"/>
  </r>
  <r>
    <s v="1020US"/>
    <n v="24031"/>
    <d v="2018-10-08T00:00:00"/>
    <n v="8020"/>
    <n v="108"/>
    <s v=""/>
    <n v="20"/>
    <n v="560"/>
    <s v="Meta Creations"/>
    <x v="0"/>
    <x v="3"/>
    <s v="USD"/>
    <n v="560"/>
  </r>
  <r>
    <s v="1020US"/>
    <n v="24031"/>
    <d v="2018-10-08T00:00:00"/>
    <n v="8020"/>
    <n v="113"/>
    <s v=""/>
    <n v="100"/>
    <n v="2500"/>
    <s v="Meta Creations"/>
    <x v="0"/>
    <x v="4"/>
    <s v="USD"/>
    <n v="2500"/>
  </r>
  <r>
    <s v="1020US"/>
    <n v="28112"/>
    <d v="2018-10-12T00:00:00"/>
    <n v="8020"/>
    <n v="114"/>
    <n v="1"/>
    <n v="50"/>
    <n v="1250"/>
    <s v="Meta Creations"/>
    <x v="0"/>
    <x v="5"/>
    <s v="USD"/>
    <n v="1250"/>
  </r>
  <r>
    <s v="1020US"/>
    <n v="28112"/>
    <d v="2018-10-12T00:00:00"/>
    <n v="8020"/>
    <n v="101"/>
    <s v=""/>
    <n v="40"/>
    <n v="480"/>
    <s v="Meta Creations"/>
    <x v="0"/>
    <x v="0"/>
    <s v="USD"/>
    <n v="480"/>
  </r>
  <r>
    <s v="1020US"/>
    <n v="28112"/>
    <d v="2018-10-12T00:00:00"/>
    <n v="8020"/>
    <n v="102"/>
    <m/>
    <n v="70"/>
    <n v="840"/>
    <s v="Meta Creations"/>
    <x v="0"/>
    <x v="1"/>
    <s v="USD"/>
    <n v="840"/>
  </r>
  <r>
    <s v="1020US"/>
    <n v="28112"/>
    <d v="2018-10-12T00:00:00"/>
    <n v="8020"/>
    <n v="106"/>
    <m/>
    <n v="70"/>
    <n v="350"/>
    <s v="Meta Creations"/>
    <x v="0"/>
    <x v="2"/>
    <s v="USD"/>
    <n v="350"/>
  </r>
  <r>
    <s v="1020US"/>
    <n v="28112"/>
    <d v="2018-10-12T00:00:00"/>
    <n v="8020"/>
    <n v="108"/>
    <m/>
    <n v="10"/>
    <n v="280"/>
    <s v="Meta Creations"/>
    <x v="0"/>
    <x v="3"/>
    <s v="USD"/>
    <n v="280"/>
  </r>
  <r>
    <s v="1020US"/>
    <n v="28112"/>
    <d v="2018-10-12T00:00:00"/>
    <n v="8020"/>
    <n v="117"/>
    <m/>
    <n v="80"/>
    <n v="1440"/>
    <s v="Meta Creations"/>
    <x v="0"/>
    <x v="6"/>
    <s v="USD"/>
    <n v="1440"/>
  </r>
  <r>
    <s v="1020US"/>
    <n v="28112"/>
    <d v="2018-10-12T00:00:00"/>
    <n v="8020"/>
    <n v="118"/>
    <m/>
    <n v="70"/>
    <n v="1260"/>
    <s v="Meta Creations"/>
    <x v="0"/>
    <x v="7"/>
    <s v="USD"/>
    <n v="1260"/>
  </r>
  <r>
    <s v="1020US"/>
    <n v="25442"/>
    <d v="2018-10-16T00:00:00"/>
    <n v="8010"/>
    <n v="118"/>
    <m/>
    <n v="70"/>
    <n v="1260"/>
    <s v="Meta Creations"/>
    <x v="1"/>
    <x v="7"/>
    <s v="USD"/>
    <n v="1260"/>
  </r>
  <r>
    <s v="1020US"/>
    <n v="25442"/>
    <d v="2018-10-16T00:00:00"/>
    <n v="8010"/>
    <n v="117"/>
    <n v="6"/>
    <n v="80"/>
    <n v="1440"/>
    <s v="Meta Creations"/>
    <x v="1"/>
    <x v="6"/>
    <s v="USD"/>
    <n v="1440"/>
  </r>
  <r>
    <s v="1020US"/>
    <n v="25442"/>
    <d v="2018-10-16T00:00:00"/>
    <n v="8010"/>
    <n v="118"/>
    <m/>
    <n v="70"/>
    <n v="1260"/>
    <s v="Meta Creations"/>
    <x v="1"/>
    <x v="7"/>
    <s v="USD"/>
    <n v="1260"/>
  </r>
  <r>
    <s v="1020US"/>
    <n v="25442"/>
    <d v="2018-10-16T00:00:00"/>
    <n v="8010"/>
    <n v="116"/>
    <n v="1"/>
    <n v="60"/>
    <n v="360"/>
    <s v="Meta Creations"/>
    <x v="1"/>
    <x v="8"/>
    <s v="USD"/>
    <n v="360"/>
  </r>
  <r>
    <s v="1020US"/>
    <n v="25442"/>
    <d v="2018-10-16T00:00:00"/>
    <n v="8010"/>
    <n v="106"/>
    <m/>
    <n v="20"/>
    <n v="100"/>
    <s v="Meta Creations"/>
    <x v="1"/>
    <x v="2"/>
    <s v="USD"/>
    <n v="100"/>
  </r>
  <r>
    <s v="1020US"/>
    <n v="25442"/>
    <d v="2018-10-16T00:00:00"/>
    <n v="8010"/>
    <n v="101"/>
    <m/>
    <n v="40"/>
    <n v="480"/>
    <s v="Meta Creations"/>
    <x v="1"/>
    <x v="0"/>
    <s v="USD"/>
    <n v="480"/>
  </r>
  <r>
    <s v="1020US"/>
    <n v="25442"/>
    <d v="2018-10-16T00:00:00"/>
    <n v="8010"/>
    <n v="102"/>
    <m/>
    <n v="10"/>
    <n v="120"/>
    <s v="Meta Creations"/>
    <x v="1"/>
    <x v="1"/>
    <s v="USD"/>
    <n v="120"/>
  </r>
  <r>
    <s v="1030AT"/>
    <n v="84030"/>
    <d v="2018-10-07T00:00:00"/>
    <n v="8050"/>
    <n v="120"/>
    <s v=""/>
    <n v="120"/>
    <n v="6960"/>
    <s v="Bere Kleid"/>
    <x v="2"/>
    <x v="9"/>
    <s v="EUR"/>
    <n v="6960"/>
  </r>
  <r>
    <s v="1030AT"/>
    <n v="84030"/>
    <d v="2018-10-07T00:00:00"/>
    <n v="8050"/>
    <n v="104"/>
    <n v="1"/>
    <n v="430"/>
    <n v="5160"/>
    <s v="Bere Kleid"/>
    <x v="2"/>
    <x v="10"/>
    <s v="EUR"/>
    <n v="5160"/>
  </r>
  <r>
    <s v="1030AT"/>
    <n v="84030"/>
    <d v="2018-10-07T00:00:00"/>
    <n v="8050"/>
    <n v="105"/>
    <s v=""/>
    <n v="120"/>
    <n v="1200"/>
    <s v="Bere Kleid"/>
    <x v="2"/>
    <x v="11"/>
    <s v="EUR"/>
    <n v="1200"/>
  </r>
  <r>
    <s v="1030AT"/>
    <n v="84030"/>
    <d v="2018-10-07T00:00:00"/>
    <n v="8050"/>
    <n v="107"/>
    <n v="1"/>
    <n v="690"/>
    <n v="3450"/>
    <s v="Bere Kleid"/>
    <x v="2"/>
    <x v="12"/>
    <s v="EUR"/>
    <n v="3450"/>
  </r>
  <r>
    <s v="1030AT"/>
    <n v="84031"/>
    <d v="2018-10-08T00:00:00"/>
    <n v="8040"/>
    <n v="104"/>
    <s v=""/>
    <n v="870"/>
    <n v="10440"/>
    <s v="Bere Kleid"/>
    <x v="3"/>
    <x v="10"/>
    <s v="EUR"/>
    <n v="10440"/>
  </r>
  <r>
    <s v="1030AT"/>
    <n v="84031"/>
    <d v="2018-10-08T00:00:00"/>
    <n v="8040"/>
    <n v="107"/>
    <s v=""/>
    <n v="760"/>
    <n v="3800"/>
    <s v="Bere Kleid"/>
    <x v="3"/>
    <x v="12"/>
    <s v="EUR"/>
    <n v="3800"/>
  </r>
  <r>
    <s v="1030AT"/>
    <n v="84031"/>
    <d v="2018-10-08T00:00:00"/>
    <n v="8040"/>
    <n v="110"/>
    <n v="2"/>
    <n v="500"/>
    <n v="30000"/>
    <s v="Bere Kleid"/>
    <x v="3"/>
    <x v="13"/>
    <s v="EUR"/>
    <n v="30000"/>
  </r>
  <r>
    <s v="1030AT"/>
    <n v="88112"/>
    <d v="2018-10-11T00:00:00"/>
    <n v="8040"/>
    <n v="110"/>
    <m/>
    <n v="480"/>
    <n v="28800"/>
    <s v="Bere Kleid"/>
    <x v="3"/>
    <x v="13"/>
    <s v="EUR"/>
    <n v="28800"/>
  </r>
  <r>
    <s v="1030AT"/>
    <n v="88112"/>
    <d v="2018-10-11T00:00:00"/>
    <n v="8040"/>
    <n v="119"/>
    <s v=""/>
    <n v="630"/>
    <n v="39060"/>
    <s v="Bere Kleid"/>
    <x v="3"/>
    <x v="14"/>
    <s v="EUR"/>
    <n v="39060"/>
  </r>
  <r>
    <s v="1030AT"/>
    <n v="88112"/>
    <d v="2018-10-11T00:00:00"/>
    <n v="8040"/>
    <n v="120"/>
    <m/>
    <n v="150"/>
    <n v="8700"/>
    <s v="Bere Kleid"/>
    <x v="3"/>
    <x v="9"/>
    <s v="EUR"/>
    <n v="8700"/>
  </r>
  <r>
    <s v="1030AT"/>
    <n v="88112"/>
    <d v="2018-10-11T00:00:00"/>
    <n v="8040"/>
    <n v="116"/>
    <n v="4"/>
    <n v="760"/>
    <n v="4560"/>
    <s v="Bere Kleid"/>
    <x v="3"/>
    <x v="8"/>
    <s v="EUR"/>
    <n v="4560"/>
  </r>
  <r>
    <s v="1030AT"/>
    <n v="88112"/>
    <d v="2018-10-11T00:00:00"/>
    <n v="8040"/>
    <n v="111"/>
    <m/>
    <n v="590"/>
    <n v="11800"/>
    <s v="Bere Kleid"/>
    <x v="3"/>
    <x v="15"/>
    <s v="EUR"/>
    <n v="11800"/>
  </r>
  <r>
    <s v="1030AT"/>
    <n v="88112"/>
    <d v="2018-10-11T00:00:00"/>
    <n v="8040"/>
    <n v="110"/>
    <m/>
    <n v="530"/>
    <n v="31800"/>
    <s v="Bere Kleid"/>
    <x v="3"/>
    <x v="13"/>
    <s v="EUR"/>
    <n v="31800"/>
  </r>
  <r>
    <s v="1030AT"/>
    <n v="88112"/>
    <d v="2018-10-11T00:00:00"/>
    <n v="8040"/>
    <n v="109"/>
    <m/>
    <n v="260"/>
    <n v="7280"/>
    <s v="Bere Kleid"/>
    <x v="3"/>
    <x v="16"/>
    <s v="EUR"/>
    <n v="7280"/>
  </r>
  <r>
    <s v="1030AT"/>
    <n v="85442"/>
    <d v="2018-10-15T00:00:00"/>
    <n v="8050"/>
    <n v="107"/>
    <m/>
    <n v="270"/>
    <n v="1350"/>
    <s v="Bere Kleid"/>
    <x v="2"/>
    <x v="12"/>
    <s v="EUR"/>
    <n v="1350"/>
  </r>
  <r>
    <s v="1030AT"/>
    <n v="85442"/>
    <d v="2018-10-15T00:00:00"/>
    <n v="8050"/>
    <n v="103"/>
    <m/>
    <n v="630"/>
    <n v="7560"/>
    <s v="Bere Kleid"/>
    <x v="2"/>
    <x v="17"/>
    <s v="EUR"/>
    <n v="7560"/>
  </r>
  <r>
    <s v="1030AT"/>
    <n v="85442"/>
    <d v="2018-10-15T00:00:00"/>
    <n v="8050"/>
    <n v="104"/>
    <m/>
    <n v="440"/>
    <n v="5280"/>
    <s v="Bere Kleid"/>
    <x v="2"/>
    <x v="10"/>
    <s v="EUR"/>
    <n v="5280"/>
  </r>
  <r>
    <s v="1030AT"/>
    <n v="85442"/>
    <d v="2018-10-15T00:00:00"/>
    <n v="8050"/>
    <n v="120"/>
    <m/>
    <n v="500"/>
    <n v="29000"/>
    <s v="Bere Kleid"/>
    <x v="2"/>
    <x v="9"/>
    <s v="EUR"/>
    <n v="29000"/>
  </r>
  <r>
    <s v="1030AT"/>
    <n v="85442"/>
    <d v="2018-10-15T00:00:00"/>
    <n v="8050"/>
    <n v="119"/>
    <n v="1"/>
    <n v="360"/>
    <n v="22320"/>
    <s v="Bere Kleid"/>
    <x v="2"/>
    <x v="14"/>
    <s v="EUR"/>
    <n v="22320"/>
  </r>
  <r>
    <s v="1030AT"/>
    <n v="85442"/>
    <d v="2018-10-15T00:00:00"/>
    <n v="8050"/>
    <n v="115"/>
    <m/>
    <n v="810"/>
    <n v="4860"/>
    <s v="Bere Kleid"/>
    <x v="2"/>
    <x v="18"/>
    <s v="EUR"/>
    <n v="4860"/>
  </r>
  <r>
    <s v="1030AT"/>
    <n v="85442"/>
    <d v="2018-10-15T00:00:00"/>
    <n v="8050"/>
    <n v="108"/>
    <m/>
    <n v="800"/>
    <n v="22400"/>
    <s v="Bere Kleid"/>
    <x v="2"/>
    <x v="3"/>
    <s v="EUR"/>
    <n v="22400"/>
  </r>
  <r>
    <s v="1030AT"/>
    <n v="88588"/>
    <d v="2018-10-15T00:00:00"/>
    <n v="8040"/>
    <n v="120"/>
    <m/>
    <n v="470"/>
    <n v="27260"/>
    <s v="Bere Kleid"/>
    <x v="3"/>
    <x v="9"/>
    <s v="EUR"/>
    <n v="27260"/>
  </r>
  <r>
    <s v="1030AT"/>
    <n v="88588"/>
    <d v="2018-10-15T00:00:00"/>
    <n v="8040"/>
    <n v="119"/>
    <m/>
    <n v="860"/>
    <n v="53320"/>
    <s v="Bere Kleid"/>
    <x v="3"/>
    <x v="14"/>
    <s v="EUR"/>
    <n v="53320"/>
  </r>
  <r>
    <s v="1030AT"/>
    <n v="88588"/>
    <d v="2018-10-15T00:00:00"/>
    <n v="8040"/>
    <n v="110"/>
    <m/>
    <n v="180"/>
    <n v="10800"/>
    <s v="Bere Kleid"/>
    <x v="3"/>
    <x v="13"/>
    <s v="EUR"/>
    <n v="10800"/>
  </r>
  <r>
    <s v="1030AT"/>
    <n v="88588"/>
    <d v="2018-10-15T00:00:00"/>
    <n v="8040"/>
    <n v="111"/>
    <m/>
    <n v="750"/>
    <n v="15000"/>
    <s v="Bere Kleid"/>
    <x v="3"/>
    <x v="15"/>
    <s v="EUR"/>
    <n v="15000"/>
  </r>
  <r>
    <s v="1030AT"/>
    <n v="88588"/>
    <d v="2018-10-15T00:00:00"/>
    <n v="8040"/>
    <n v="109"/>
    <m/>
    <n v="560"/>
    <n v="15680"/>
    <s v="Bere Kleid"/>
    <x v="3"/>
    <x v="16"/>
    <s v="EUR"/>
    <n v="15680"/>
  </r>
  <r>
    <s v="1030AT"/>
    <n v="88588"/>
    <d v="2018-10-15T00:00:00"/>
    <n v="8040"/>
    <n v="105"/>
    <m/>
    <n v="130"/>
    <n v="1300"/>
    <s v="Bere Kleid"/>
    <x v="3"/>
    <x v="11"/>
    <s v="EUR"/>
    <n v="1300"/>
  </r>
  <r>
    <s v="1030AT"/>
    <n v="88588"/>
    <d v="2018-10-15T00:00:00"/>
    <n v="8040"/>
    <n v="103"/>
    <m/>
    <n v="110"/>
    <n v="1320"/>
    <s v="Bere Kleid"/>
    <x v="3"/>
    <x v="17"/>
    <s v="EUR"/>
    <n v="1320"/>
  </r>
  <r>
    <s v="1030AT"/>
    <n v="88544"/>
    <d v="2018-10-22T00:00:00"/>
    <n v="8040"/>
    <n v="107"/>
    <m/>
    <n v="770"/>
    <n v="3850"/>
    <s v="Bere Kleid"/>
    <x v="3"/>
    <x v="12"/>
    <s v="EUR"/>
    <n v="3850"/>
  </r>
  <r>
    <s v="1030AT"/>
    <n v="88544"/>
    <d v="2018-10-22T00:00:00"/>
    <n v="8040"/>
    <n v="120"/>
    <m/>
    <n v="300"/>
    <n v="17400"/>
    <s v="Bere Kleid"/>
    <x v="3"/>
    <x v="9"/>
    <s v="EUR"/>
    <n v="17400"/>
  </r>
  <r>
    <s v="1030AT"/>
    <n v="88666"/>
    <d v="2018-10-26T00:00:00"/>
    <n v="8030"/>
    <n v="119"/>
    <m/>
    <n v="330"/>
    <n v="20460"/>
    <s v="Bere Kleid"/>
    <x v="4"/>
    <x v="14"/>
    <s v="EUR"/>
    <n v="20460"/>
  </r>
  <r>
    <s v="1030AT"/>
    <n v="88666"/>
    <d v="2018-10-26T00:00:00"/>
    <n v="8030"/>
    <n v="107"/>
    <m/>
    <n v="460"/>
    <n v="2300"/>
    <s v="Bere Kleid"/>
    <x v="4"/>
    <x v="12"/>
    <s v="EUR"/>
    <n v="2300"/>
  </r>
  <r>
    <s v="1030AT"/>
    <n v="88666"/>
    <d v="2018-10-26T00:00:00"/>
    <n v="8030"/>
    <n v="105"/>
    <n v="1"/>
    <n v="470"/>
    <n v="4700"/>
    <s v="Bere Kleid"/>
    <x v="4"/>
    <x v="11"/>
    <s v="EUR"/>
    <n v="4700"/>
  </r>
  <r>
    <s v="1030AT"/>
    <n v="88666"/>
    <d v="2018-10-26T00:00:00"/>
    <n v="8030"/>
    <n v="115"/>
    <m/>
    <n v="390"/>
    <n v="2340"/>
    <s v="Bere Kleid"/>
    <x v="4"/>
    <x v="18"/>
    <s v="EUR"/>
    <n v="2340"/>
  </r>
  <r>
    <s v="1030AT"/>
    <n v="88666"/>
    <d v="2018-10-26T00:00:00"/>
    <n v="8030"/>
    <n v="116"/>
    <m/>
    <n v="260"/>
    <n v="1560"/>
    <s v="Bere Kleid"/>
    <x v="4"/>
    <x v="8"/>
    <s v="EUR"/>
    <n v="1560"/>
  </r>
  <r>
    <s v="1040DE"/>
    <n v="44030"/>
    <d v="2018-10-04T00:00:00"/>
    <n v="8060"/>
    <n v="108"/>
    <s v=""/>
    <n v="60"/>
    <n v="1680"/>
    <s v="Lucas Basics"/>
    <x v="5"/>
    <x v="3"/>
    <s v="EUR"/>
    <n v="1680"/>
  </r>
  <r>
    <s v="1040DE"/>
    <n v="44030"/>
    <d v="2018-10-04T00:00:00"/>
    <n v="8060"/>
    <n v="109"/>
    <n v="1"/>
    <n v="60"/>
    <n v="1680"/>
    <s v="Lucas Basics"/>
    <x v="5"/>
    <x v="16"/>
    <s v="EUR"/>
    <n v="1680"/>
  </r>
  <r>
    <s v="1040DE"/>
    <n v="44032"/>
    <d v="2018-10-07T00:00:00"/>
    <n v="8060"/>
    <n v="108"/>
    <s v=""/>
    <n v="60"/>
    <n v="1680"/>
    <s v="Lucas Basics"/>
    <x v="5"/>
    <x v="3"/>
    <s v="EUR"/>
    <n v="1680"/>
  </r>
  <r>
    <s v="1040DE"/>
    <n v="44032"/>
    <d v="2018-10-07T00:00:00"/>
    <n v="8060"/>
    <n v="109"/>
    <m/>
    <n v="70"/>
    <n v="1960"/>
    <s v="Lucas Basics"/>
    <x v="5"/>
    <x v="16"/>
    <s v="EUR"/>
    <n v="1960"/>
  </r>
  <r>
    <s v="1040DE"/>
    <n v="44031"/>
    <d v="2018-10-08T00:00:00"/>
    <n v="8050"/>
    <n v="108"/>
    <s v=""/>
    <n v="60"/>
    <n v="1680"/>
    <s v="Lucas Basics"/>
    <x v="2"/>
    <x v="3"/>
    <s v="EUR"/>
    <n v="1680"/>
  </r>
  <r>
    <s v="1040DE"/>
    <n v="44031"/>
    <d v="2018-10-08T00:00:00"/>
    <n v="8050"/>
    <n v="109"/>
    <s v=""/>
    <n v="50"/>
    <n v="1400"/>
    <s v="Lucas Basics"/>
    <x v="2"/>
    <x v="16"/>
    <s v="EUR"/>
    <n v="1400"/>
  </r>
  <r>
    <s v="1040DE"/>
    <n v="44031"/>
    <d v="2018-10-08T00:00:00"/>
    <n v="8050"/>
    <n v="110"/>
    <s v=""/>
    <n v="60"/>
    <n v="3600"/>
    <s v="Lucas Basics"/>
    <x v="2"/>
    <x v="13"/>
    <s v="EUR"/>
    <n v="3600"/>
  </r>
  <r>
    <s v="1040DE"/>
    <n v="48112"/>
    <d v="2018-10-11T00:00:00"/>
    <n v="8060"/>
    <n v="109"/>
    <m/>
    <n v="60"/>
    <n v="1680"/>
    <s v="Lucas Basics"/>
    <x v="5"/>
    <x v="16"/>
    <s v="EUR"/>
    <n v="1680"/>
  </r>
  <r>
    <s v="1040DE"/>
    <n v="48112"/>
    <d v="2018-10-11T00:00:00"/>
    <n v="8060"/>
    <n v="110"/>
    <s v=""/>
    <n v="50"/>
    <n v="3000"/>
    <s v="Lucas Basics"/>
    <x v="5"/>
    <x v="13"/>
    <s v="EUR"/>
    <n v="3000"/>
  </r>
  <r>
    <s v="1040DE"/>
    <n v="48114"/>
    <d v="2018-10-11T00:00:00"/>
    <n v="8050"/>
    <n v="109"/>
    <m/>
    <n v="60"/>
    <n v="1680"/>
    <s v="Lucas Basics"/>
    <x v="2"/>
    <x v="16"/>
    <s v="EUR"/>
    <n v="1680"/>
  </r>
  <r>
    <s v="1040DE"/>
    <n v="48114"/>
    <d v="2018-10-11T00:00:00"/>
    <n v="8050"/>
    <n v="110"/>
    <m/>
    <n v="60"/>
    <n v="3600"/>
    <s v="Lucas Basics"/>
    <x v="2"/>
    <x v="13"/>
    <s v="EUR"/>
    <n v="3600"/>
  </r>
  <r>
    <s v="1040DE"/>
    <n v="48114"/>
    <d v="2018-10-11T00:00:00"/>
    <n v="8050"/>
    <n v="111"/>
    <m/>
    <n v="80"/>
    <n v="1600"/>
    <s v="Lucas Basics"/>
    <x v="2"/>
    <x v="15"/>
    <s v="EUR"/>
    <n v="1600"/>
  </r>
  <r>
    <s v="1040DE"/>
    <n v="48116"/>
    <d v="2018-10-11T00:00:00"/>
    <n v="8060"/>
    <n v="109"/>
    <m/>
    <n v="60"/>
    <n v="1680"/>
    <s v="Lucas Basics"/>
    <x v="5"/>
    <x v="16"/>
    <s v="EUR"/>
    <n v="1680"/>
  </r>
  <r>
    <s v="1040DE"/>
    <n v="48116"/>
    <d v="2018-10-11T00:00:00"/>
    <n v="8060"/>
    <n v="110"/>
    <m/>
    <n v="60"/>
    <n v="3600"/>
    <s v="Lucas Basics"/>
    <x v="5"/>
    <x v="13"/>
    <s v="EUR"/>
    <n v="3600"/>
  </r>
  <r>
    <s v="1040DE"/>
    <n v="45442"/>
    <d v="2018-10-15T00:00:00"/>
    <n v="8050"/>
    <n v="108"/>
    <m/>
    <n v="50"/>
    <n v="1400"/>
    <s v="Lucas Basics"/>
    <x v="2"/>
    <x v="3"/>
    <s v="EUR"/>
    <n v="1400"/>
  </r>
  <r>
    <s v="1040DE"/>
    <n v="45442"/>
    <d v="2018-10-15T00:00:00"/>
    <n v="8050"/>
    <n v="109"/>
    <n v="1"/>
    <n v="60"/>
    <n v="1680"/>
    <s v="Lucas Basics"/>
    <x v="2"/>
    <x v="16"/>
    <s v="EUR"/>
    <n v="1680"/>
  </r>
  <r>
    <s v="1040DE"/>
    <n v="45444"/>
    <d v="2018-10-15T00:00:00"/>
    <n v="8060"/>
    <n v="108"/>
    <m/>
    <n v="60"/>
    <n v="1680"/>
    <s v="Lucas Basics"/>
    <x v="5"/>
    <x v="3"/>
    <s v="EUR"/>
    <n v="1680"/>
  </r>
  <r>
    <s v="1040DE"/>
    <n v="45444"/>
    <d v="2018-10-15T00:00:00"/>
    <n v="8060"/>
    <n v="109"/>
    <m/>
    <n v="70"/>
    <n v="1960"/>
    <s v="Lucas Basics"/>
    <x v="5"/>
    <x v="16"/>
    <s v="EUR"/>
    <n v="1960"/>
  </r>
  <r>
    <s v="1040DE"/>
    <n v="45444"/>
    <d v="2018-10-15T00:00:00"/>
    <n v="8060"/>
    <n v="110"/>
    <m/>
    <n v="60"/>
    <n v="3600"/>
    <s v="Lucas Basics"/>
    <x v="5"/>
    <x v="13"/>
    <s v="EUR"/>
    <n v="3600"/>
  </r>
  <r>
    <s v="1040DE"/>
    <n v="45446"/>
    <d v="2018-10-15T00:00:00"/>
    <n v="8050"/>
    <n v="111"/>
    <m/>
    <n v="80"/>
    <n v="1600"/>
    <s v="Lucas Basics"/>
    <x v="2"/>
    <x v="15"/>
    <s v="EUR"/>
    <n v="1600"/>
  </r>
  <r>
    <s v="1040DE"/>
    <n v="45446"/>
    <d v="2018-10-15T00:00:00"/>
    <n v="8050"/>
    <n v="108"/>
    <m/>
    <n v="50"/>
    <n v="1400"/>
    <s v="Lucas Basics"/>
    <x v="2"/>
    <x v="3"/>
    <s v="EUR"/>
    <n v="1400"/>
  </r>
  <r>
    <s v="1040DE"/>
    <n v="44015"/>
    <d v="2018-10-10T00:00:00"/>
    <n v="8060"/>
    <n v="108"/>
    <m/>
    <n v="60"/>
    <n v="1680"/>
    <s v="Lucas Basics"/>
    <x v="5"/>
    <x v="3"/>
    <s v="EUR"/>
    <n v="1680"/>
  </r>
  <r>
    <s v="1040DE"/>
    <n v="44015"/>
    <d v="2018-10-10T00:00:00"/>
    <n v="8060"/>
    <n v="109"/>
    <m/>
    <n v="70"/>
    <n v="1960"/>
    <s v="Lucas Basics"/>
    <x v="5"/>
    <x v="16"/>
    <s v="EUR"/>
    <n v="1960"/>
  </r>
  <r>
    <s v="1040DE"/>
    <n v="44017"/>
    <d v="2018-10-13T00:00:00"/>
    <n v="8060"/>
    <n v="108"/>
    <m/>
    <n v="70"/>
    <n v="1960"/>
    <s v="Lucas Basics"/>
    <x v="5"/>
    <x v="3"/>
    <s v="EUR"/>
    <n v="1960"/>
  </r>
  <r>
    <s v="1040DE"/>
    <n v="44017"/>
    <d v="2018-10-13T00:00:00"/>
    <n v="8060"/>
    <n v="109"/>
    <m/>
    <n v="70"/>
    <n v="1960"/>
    <s v="Lucas Basics"/>
    <x v="5"/>
    <x v="16"/>
    <s v="EUR"/>
    <n v="1960"/>
  </r>
  <r>
    <s v="1040DE"/>
    <n v="44016"/>
    <d v="2018-10-14T00:00:00"/>
    <n v="8050"/>
    <n v="108"/>
    <m/>
    <n v="70"/>
    <n v="1960"/>
    <s v="Lucas Basics"/>
    <x v="2"/>
    <x v="3"/>
    <s v="EUR"/>
    <n v="1960"/>
  </r>
  <r>
    <s v="1040DE"/>
    <n v="44016"/>
    <d v="2018-10-14T00:00:00"/>
    <n v="8050"/>
    <n v="109"/>
    <n v="1"/>
    <n v="60"/>
    <n v="1680"/>
    <s v="Lucas Basics"/>
    <x v="2"/>
    <x v="16"/>
    <s v="EUR"/>
    <n v="1680"/>
  </r>
  <r>
    <s v="1040DE"/>
    <n v="44016"/>
    <d v="2018-10-14T00:00:00"/>
    <n v="8050"/>
    <n v="110"/>
    <m/>
    <n v="50"/>
    <n v="3000"/>
    <s v="Lucas Basics"/>
    <x v="2"/>
    <x v="13"/>
    <s v="EUR"/>
    <n v="3000"/>
  </r>
  <r>
    <s v="1040DE"/>
    <n v="48097"/>
    <d v="2018-10-17T00:00:00"/>
    <n v="8060"/>
    <n v="109"/>
    <m/>
    <n v="60"/>
    <n v="1680"/>
    <s v="Lucas Basics"/>
    <x v="5"/>
    <x v="16"/>
    <s v="EUR"/>
    <n v="1680"/>
  </r>
  <r>
    <s v="1040DE"/>
    <n v="48097"/>
    <d v="2018-10-17T00:00:00"/>
    <n v="8060"/>
    <n v="110"/>
    <m/>
    <n v="70"/>
    <n v="4200"/>
    <s v="Lucas Basics"/>
    <x v="5"/>
    <x v="13"/>
    <s v="EUR"/>
    <n v="4200"/>
  </r>
  <r>
    <s v="1040DE"/>
    <n v="48099"/>
    <d v="2018-10-17T00:00:00"/>
    <n v="8050"/>
    <n v="109"/>
    <n v="1"/>
    <n v="60"/>
    <n v="1680"/>
    <s v="Lucas Basics"/>
    <x v="2"/>
    <x v="16"/>
    <s v="EUR"/>
    <n v="1680"/>
  </r>
  <r>
    <s v="1040DE"/>
    <n v="48099"/>
    <d v="2018-10-17T00:00:00"/>
    <n v="8050"/>
    <n v="110"/>
    <m/>
    <n v="60"/>
    <n v="3600"/>
    <s v="Lucas Basics"/>
    <x v="2"/>
    <x v="13"/>
    <s v="EUR"/>
    <n v="3600"/>
  </r>
  <r>
    <s v="1040DE"/>
    <n v="48099"/>
    <d v="2018-10-17T00:00:00"/>
    <n v="8050"/>
    <n v="111"/>
    <m/>
    <n v="60"/>
    <n v="1200"/>
    <s v="Lucas Basics"/>
    <x v="2"/>
    <x v="15"/>
    <s v="EUR"/>
    <n v="1200"/>
  </r>
  <r>
    <s v="1040DE"/>
    <n v="48101"/>
    <d v="2018-10-17T00:00:00"/>
    <n v="8060"/>
    <n v="109"/>
    <m/>
    <n v="60"/>
    <n v="1680"/>
    <s v="Lucas Basics"/>
    <x v="5"/>
    <x v="16"/>
    <s v="EUR"/>
    <n v="1680"/>
  </r>
  <r>
    <s v="1040DE"/>
    <n v="48101"/>
    <d v="2018-10-17T00:00:00"/>
    <n v="8060"/>
    <n v="110"/>
    <m/>
    <n v="50"/>
    <n v="3000"/>
    <s v="Lucas Basics"/>
    <x v="5"/>
    <x v="13"/>
    <s v="EUR"/>
    <n v="3000"/>
  </r>
  <r>
    <s v="1040DE"/>
    <n v="45427"/>
    <d v="2018-10-21T00:00:00"/>
    <n v="8050"/>
    <n v="108"/>
    <m/>
    <n v="70"/>
    <n v="1960"/>
    <s v="Lucas Basics"/>
    <x v="2"/>
    <x v="3"/>
    <s v="EUR"/>
    <n v="1960"/>
  </r>
  <r>
    <s v="1040DE"/>
    <n v="45427"/>
    <d v="2018-10-21T00:00:00"/>
    <n v="8050"/>
    <n v="109"/>
    <m/>
    <n v="60"/>
    <n v="1680"/>
    <s v="Lucas Basics"/>
    <x v="2"/>
    <x v="16"/>
    <s v="EUR"/>
    <n v="1680"/>
  </r>
  <r>
    <s v="1040DE"/>
    <n v="45429"/>
    <d v="2018-10-21T00:00:00"/>
    <n v="8060"/>
    <n v="108"/>
    <m/>
    <n v="80"/>
    <n v="2240"/>
    <s v="Lucas Basics"/>
    <x v="5"/>
    <x v="3"/>
    <s v="EUR"/>
    <n v="2240"/>
  </r>
  <r>
    <s v="1040DE"/>
    <n v="45429"/>
    <d v="2018-10-21T00:00:00"/>
    <n v="8060"/>
    <n v="109"/>
    <n v="2"/>
    <n v="80"/>
    <n v="2240"/>
    <s v="Lucas Basics"/>
    <x v="5"/>
    <x v="16"/>
    <s v="EUR"/>
    <n v="2240"/>
  </r>
  <r>
    <s v="1040DE"/>
    <n v="45429"/>
    <d v="2018-10-21T00:00:00"/>
    <n v="8060"/>
    <n v="110"/>
    <m/>
    <n v="50"/>
    <n v="3000"/>
    <s v="Lucas Basics"/>
    <x v="5"/>
    <x v="13"/>
    <s v="EUR"/>
    <n v="3000"/>
  </r>
  <r>
    <s v="1040DE"/>
    <n v="45431"/>
    <d v="2018-10-21T00:00:00"/>
    <n v="8050"/>
    <n v="111"/>
    <m/>
    <n v="60"/>
    <n v="1200"/>
    <s v="Lucas Basics"/>
    <x v="2"/>
    <x v="15"/>
    <s v="EUR"/>
    <n v="1200"/>
  </r>
  <r>
    <s v="1040DE"/>
    <n v="45431"/>
    <d v="2018-10-21T00:00:00"/>
    <n v="8050"/>
    <n v="108"/>
    <m/>
    <n v="60"/>
    <n v="1680"/>
    <s v="Lucas Basics"/>
    <x v="2"/>
    <x v="3"/>
    <s v="EUR"/>
    <n v="1680"/>
  </r>
  <r>
    <s v="1020US"/>
    <n v="24030"/>
    <d v="2018-10-02T00:00:00"/>
    <n v="8020"/>
    <n v="101"/>
    <n v="1"/>
    <n v="130"/>
    <n v="1560"/>
    <s v="Meta Creations"/>
    <x v="0"/>
    <x v="0"/>
    <s v="USD"/>
    <n v="1560"/>
  </r>
  <r>
    <s v="1020US"/>
    <n v="24030"/>
    <d v="2018-10-02T00:00:00"/>
    <n v="8020"/>
    <n v="102"/>
    <m/>
    <n v="30"/>
    <n v="360"/>
    <s v="Meta Creations"/>
    <x v="0"/>
    <x v="1"/>
    <s v="USD"/>
    <n v="360"/>
  </r>
  <r>
    <s v="1020US"/>
    <n v="24030"/>
    <d v="2018-10-02T00:00:00"/>
    <n v="8020"/>
    <n v="106"/>
    <s v=""/>
    <n v="60"/>
    <n v="300"/>
    <s v="Meta Creations"/>
    <x v="0"/>
    <x v="2"/>
    <s v="USD"/>
    <n v="300"/>
  </r>
  <r>
    <s v="1020US"/>
    <n v="24030"/>
    <d v="2018-10-02T00:00:00"/>
    <n v="8020"/>
    <n v="108"/>
    <m/>
    <n v="80"/>
    <n v="2240"/>
    <s v="Meta Creations"/>
    <x v="0"/>
    <x v="3"/>
    <s v="USD"/>
    <n v="2240"/>
  </r>
  <r>
    <s v="1020US"/>
    <n v="24031"/>
    <d v="2018-10-08T00:00:00"/>
    <n v="8020"/>
    <n v="101"/>
    <s v=""/>
    <n v="100"/>
    <n v="1200"/>
    <s v="Meta Creations"/>
    <x v="0"/>
    <x v="0"/>
    <s v="USD"/>
    <n v="1200"/>
  </r>
  <r>
    <s v="1020US"/>
    <n v="24031"/>
    <d v="2018-10-08T00:00:00"/>
    <n v="8020"/>
    <n v="108"/>
    <s v=""/>
    <n v="20"/>
    <n v="560"/>
    <s v="Meta Creations"/>
    <x v="0"/>
    <x v="3"/>
    <s v="USD"/>
    <n v="560"/>
  </r>
  <r>
    <s v="1020US"/>
    <n v="24031"/>
    <d v="2018-10-08T00:00:00"/>
    <n v="8020"/>
    <n v="113"/>
    <s v=""/>
    <n v="100"/>
    <n v="2500"/>
    <s v="Meta Creations"/>
    <x v="0"/>
    <x v="4"/>
    <s v="USD"/>
    <n v="2500"/>
  </r>
  <r>
    <s v="1020US"/>
    <n v="28112"/>
    <d v="2018-10-12T00:00:00"/>
    <n v="8020"/>
    <n v="114"/>
    <n v="1"/>
    <n v="50"/>
    <n v="1250"/>
    <s v="Meta Creations"/>
    <x v="0"/>
    <x v="5"/>
    <s v="USD"/>
    <n v="1250"/>
  </r>
  <r>
    <s v="1020US"/>
    <n v="28112"/>
    <d v="2018-10-12T00:00:00"/>
    <n v="8020"/>
    <n v="101"/>
    <s v=""/>
    <n v="40"/>
    <n v="480"/>
    <s v="Meta Creations"/>
    <x v="0"/>
    <x v="0"/>
    <s v="USD"/>
    <n v="480"/>
  </r>
  <r>
    <s v="1020US"/>
    <n v="28112"/>
    <d v="2018-10-12T00:00:00"/>
    <n v="8020"/>
    <n v="102"/>
    <m/>
    <n v="70"/>
    <n v="840"/>
    <s v="Meta Creations"/>
    <x v="0"/>
    <x v="1"/>
    <s v="USD"/>
    <n v="840"/>
  </r>
  <r>
    <s v="1020US"/>
    <n v="28112"/>
    <d v="2018-10-12T00:00:00"/>
    <n v="8020"/>
    <n v="106"/>
    <m/>
    <n v="70"/>
    <n v="350"/>
    <s v="Meta Creations"/>
    <x v="0"/>
    <x v="2"/>
    <s v="USD"/>
    <n v="350"/>
  </r>
  <r>
    <s v="1020US"/>
    <n v="28112"/>
    <d v="2018-10-12T00:00:00"/>
    <n v="8020"/>
    <n v="108"/>
    <m/>
    <n v="10"/>
    <n v="280"/>
    <s v="Meta Creations"/>
    <x v="0"/>
    <x v="3"/>
    <s v="USD"/>
    <n v="280"/>
  </r>
  <r>
    <s v="1020US"/>
    <n v="28112"/>
    <d v="2018-10-12T00:00:00"/>
    <n v="8020"/>
    <n v="117"/>
    <m/>
    <n v="80"/>
    <n v="1440"/>
    <s v="Meta Creations"/>
    <x v="0"/>
    <x v="6"/>
    <s v="USD"/>
    <n v="1440"/>
  </r>
  <r>
    <s v="1020US"/>
    <n v="28112"/>
    <d v="2018-10-12T00:00:00"/>
    <n v="8020"/>
    <n v="118"/>
    <m/>
    <n v="70"/>
    <n v="1260"/>
    <s v="Meta Creations"/>
    <x v="0"/>
    <x v="7"/>
    <s v="USD"/>
    <n v="1260"/>
  </r>
  <r>
    <s v="1020US"/>
    <n v="25442"/>
    <d v="2018-10-16T00:00:00"/>
    <n v="8010"/>
    <n v="118"/>
    <m/>
    <n v="70"/>
    <n v="1260"/>
    <s v="Meta Creations"/>
    <x v="1"/>
    <x v="7"/>
    <s v="USD"/>
    <n v="1260"/>
  </r>
  <r>
    <s v="1020US"/>
    <n v="25442"/>
    <d v="2018-10-16T00:00:00"/>
    <n v="8010"/>
    <n v="117"/>
    <n v="6"/>
    <n v="80"/>
    <n v="1440"/>
    <s v="Meta Creations"/>
    <x v="1"/>
    <x v="6"/>
    <s v="USD"/>
    <n v="1440"/>
  </r>
  <r>
    <s v="1020US"/>
    <n v="25442"/>
    <d v="2018-10-16T00:00:00"/>
    <n v="8010"/>
    <n v="118"/>
    <m/>
    <n v="70"/>
    <n v="1260"/>
    <s v="Meta Creations"/>
    <x v="1"/>
    <x v="7"/>
    <s v="USD"/>
    <n v="1260"/>
  </r>
  <r>
    <s v="1020US"/>
    <n v="25442"/>
    <d v="2018-10-16T00:00:00"/>
    <n v="8010"/>
    <n v="116"/>
    <n v="1"/>
    <n v="60"/>
    <n v="360"/>
    <s v="Meta Creations"/>
    <x v="1"/>
    <x v="8"/>
    <s v="USD"/>
    <n v="360"/>
  </r>
  <r>
    <s v="1020US"/>
    <n v="25442"/>
    <d v="2018-10-16T00:00:00"/>
    <n v="8010"/>
    <n v="106"/>
    <m/>
    <n v="20"/>
    <n v="100"/>
    <s v="Meta Creations"/>
    <x v="1"/>
    <x v="2"/>
    <s v="USD"/>
    <n v="100"/>
  </r>
  <r>
    <s v="1020US"/>
    <n v="25442"/>
    <d v="2018-10-16T00:00:00"/>
    <n v="8010"/>
    <n v="101"/>
    <m/>
    <n v="40"/>
    <n v="480"/>
    <s v="Meta Creations"/>
    <x v="1"/>
    <x v="0"/>
    <s v="USD"/>
    <n v="480"/>
  </r>
  <r>
    <s v="1020US"/>
    <n v="25442"/>
    <d v="2018-10-16T00:00:00"/>
    <n v="8010"/>
    <n v="102"/>
    <m/>
    <n v="10"/>
    <n v="120"/>
    <s v="Meta Creations"/>
    <x v="1"/>
    <x v="1"/>
    <s v="USD"/>
    <n v="120"/>
  </r>
  <r>
    <s v="1010US"/>
    <n v="66030"/>
    <d v="2018-10-04T00:00:00"/>
    <n v="8010"/>
    <n v="103"/>
    <s v=""/>
    <n v="120"/>
    <n v="1440"/>
    <s v="Urban Right"/>
    <x v="1"/>
    <x v="17"/>
    <s v="USD"/>
    <n v="1440"/>
  </r>
  <r>
    <s v="1010US"/>
    <n v="66030"/>
    <d v="2018-10-04T00:00:00"/>
    <n v="8010"/>
    <n v="104"/>
    <m/>
    <n v="150"/>
    <n v="1800"/>
    <s v="Urban Right"/>
    <x v="1"/>
    <x v="10"/>
    <s v="USD"/>
    <n v="1800"/>
  </r>
  <r>
    <s v="1010US"/>
    <n v="66032"/>
    <d v="2018-10-07T00:00:00"/>
    <n v="8010"/>
    <n v="103"/>
    <m/>
    <n v="170"/>
    <n v="2040"/>
    <s v="Urban Right"/>
    <x v="1"/>
    <x v="17"/>
    <s v="USD"/>
    <n v="2040"/>
  </r>
  <r>
    <s v="1010US"/>
    <n v="66032"/>
    <d v="2018-10-07T00:00:00"/>
    <n v="8010"/>
    <n v="104"/>
    <m/>
    <n v="140"/>
    <n v="1680"/>
    <s v="Urban Right"/>
    <x v="1"/>
    <x v="10"/>
    <s v="USD"/>
    <n v="1680"/>
  </r>
  <r>
    <s v="1010US"/>
    <n v="66031"/>
    <d v="2018-10-08T00:00:00"/>
    <n v="8020"/>
    <n v="103"/>
    <n v="1"/>
    <n v="140"/>
    <n v="1680"/>
    <s v="Urban Right"/>
    <x v="0"/>
    <x v="17"/>
    <s v="USD"/>
    <n v="1680"/>
  </r>
  <r>
    <s v="1010US"/>
    <n v="66031"/>
    <d v="2018-10-08T00:00:00"/>
    <n v="8020"/>
    <n v="104"/>
    <m/>
    <n v="150"/>
    <n v="1800"/>
    <s v="Urban Right"/>
    <x v="0"/>
    <x v="10"/>
    <s v="USD"/>
    <n v="1800"/>
  </r>
  <r>
    <s v="1010US"/>
    <n v="66031"/>
    <d v="2018-10-08T00:00:00"/>
    <n v="8020"/>
    <n v="105"/>
    <m/>
    <n v="100"/>
    <n v="1000"/>
    <s v="Urban Right"/>
    <x v="0"/>
    <x v="11"/>
    <s v="USD"/>
    <n v="1000"/>
  </r>
  <r>
    <s v="1010US"/>
    <n v="68112"/>
    <d v="2018-10-11T00:00:00"/>
    <n v="8010"/>
    <n v="104"/>
    <n v="4"/>
    <n v="180"/>
    <n v="2160"/>
    <s v="Urban Right"/>
    <x v="1"/>
    <x v="10"/>
    <s v="USD"/>
    <n v="2160"/>
  </r>
  <r>
    <s v="1010US"/>
    <n v="68112"/>
    <d v="2018-10-11T00:00:00"/>
    <n v="8010"/>
    <n v="105"/>
    <m/>
    <n v="120"/>
    <n v="1200"/>
    <s v="Urban Right"/>
    <x v="1"/>
    <x v="11"/>
    <s v="USD"/>
    <n v="1200"/>
  </r>
  <r>
    <s v="1010US"/>
    <n v="68116"/>
    <d v="2018-10-11T00:00:00"/>
    <n v="8020"/>
    <n v="104"/>
    <m/>
    <n v="150"/>
    <n v="1800"/>
    <s v="Urban Right"/>
    <x v="0"/>
    <x v="10"/>
    <s v="USD"/>
    <n v="1800"/>
  </r>
  <r>
    <s v="1010US"/>
    <n v="68116"/>
    <d v="2018-10-11T00:00:00"/>
    <n v="8020"/>
    <n v="105"/>
    <m/>
    <n v="190"/>
    <n v="1900"/>
    <s v="Urban Right"/>
    <x v="0"/>
    <x v="11"/>
    <s v="USD"/>
    <n v="1900"/>
  </r>
  <r>
    <s v="1010US"/>
    <n v="68116"/>
    <d v="2018-10-11T00:00:00"/>
    <n v="8020"/>
    <n v="107"/>
    <n v="2"/>
    <n v="160"/>
    <n v="800"/>
    <s v="Urban Right"/>
    <x v="0"/>
    <x v="12"/>
    <s v="USD"/>
    <n v="800"/>
  </r>
  <r>
    <s v="1010US"/>
    <n v="68116"/>
    <d v="2018-10-11T00:00:00"/>
    <n v="8010"/>
    <n v="104"/>
    <m/>
    <n v="160"/>
    <n v="1920"/>
    <s v="Urban Right"/>
    <x v="1"/>
    <x v="10"/>
    <s v="USD"/>
    <n v="1920"/>
  </r>
  <r>
    <s v="1010US"/>
    <n v="68116"/>
    <d v="2018-10-11T00:00:00"/>
    <n v="8010"/>
    <n v="105"/>
    <m/>
    <n v="190"/>
    <n v="1900"/>
    <s v="Urban Right"/>
    <x v="1"/>
    <x v="11"/>
    <s v="USD"/>
    <n v="1900"/>
  </r>
  <r>
    <s v="1010US"/>
    <n v="65662"/>
    <d v="2018-10-15T00:00:00"/>
    <n v="8020"/>
    <n v="103"/>
    <m/>
    <n v="120"/>
    <n v="1440"/>
    <s v="Urban Right"/>
    <x v="0"/>
    <x v="17"/>
    <s v="USD"/>
    <n v="1440"/>
  </r>
  <r>
    <s v="1010US"/>
    <n v="65662"/>
    <d v="2018-10-15T00:00:00"/>
    <n v="8020"/>
    <n v="104"/>
    <m/>
    <n v="110"/>
    <n v="1320"/>
    <s v="Urban Right"/>
    <x v="0"/>
    <x v="10"/>
    <s v="USD"/>
    <n v="1320"/>
  </r>
  <r>
    <s v="1010US"/>
    <n v="65666"/>
    <d v="2018-10-15T00:00:00"/>
    <n v="8010"/>
    <n v="103"/>
    <m/>
    <n v="120"/>
    <n v="1440"/>
    <s v="Urban Right"/>
    <x v="1"/>
    <x v="17"/>
    <s v="USD"/>
    <n v="1440"/>
  </r>
  <r>
    <s v="1010US"/>
    <n v="65666"/>
    <d v="2018-10-15T00:00:00"/>
    <n v="8010"/>
    <n v="104"/>
    <m/>
    <n v="140"/>
    <n v="1680"/>
    <s v="Urban Right"/>
    <x v="1"/>
    <x v="10"/>
    <s v="USD"/>
    <n v="1680"/>
  </r>
  <r>
    <s v="1010US"/>
    <n v="65666"/>
    <d v="2018-10-15T00:00:00"/>
    <n v="8010"/>
    <n v="105"/>
    <m/>
    <n v="160"/>
    <n v="1600"/>
    <s v="Urban Right"/>
    <x v="1"/>
    <x v="11"/>
    <s v="USD"/>
    <n v="1600"/>
  </r>
  <r>
    <s v="1010US"/>
    <n v="65666"/>
    <d v="2018-10-15T00:00:00"/>
    <n v="8020"/>
    <n v="107"/>
    <m/>
    <n v="120"/>
    <n v="600"/>
    <s v="Urban Right"/>
    <x v="0"/>
    <x v="12"/>
    <s v="USD"/>
    <n v="600"/>
  </r>
  <r>
    <s v="1010US"/>
    <n v="65666"/>
    <d v="2018-10-15T00:00:00"/>
    <n v="8020"/>
    <n v="103"/>
    <m/>
    <n v="200"/>
    <n v="2400"/>
    <s v="Urban Right"/>
    <x v="0"/>
    <x v="17"/>
    <s v="USD"/>
    <n v="2400"/>
  </r>
  <r>
    <s v="1010US"/>
    <n v="66015"/>
    <d v="2018-10-10T00:00:00"/>
    <n v="8010"/>
    <n v="103"/>
    <m/>
    <n v="140"/>
    <n v="1680"/>
    <s v="Urban Right"/>
    <x v="1"/>
    <x v="17"/>
    <s v="USD"/>
    <n v="1680"/>
  </r>
  <r>
    <s v="1010US"/>
    <n v="66015"/>
    <d v="2018-10-10T00:00:00"/>
    <n v="8010"/>
    <n v="104"/>
    <m/>
    <n v="140"/>
    <n v="1680"/>
    <s v="Urban Right"/>
    <x v="1"/>
    <x v="10"/>
    <s v="USD"/>
    <n v="1680"/>
  </r>
  <r>
    <s v="1010US"/>
    <n v="66017"/>
    <d v="2018-10-13T00:00:00"/>
    <n v="8010"/>
    <n v="103"/>
    <m/>
    <n v="140"/>
    <n v="1680"/>
    <s v="Urban Right"/>
    <x v="1"/>
    <x v="17"/>
    <s v="USD"/>
    <n v="1680"/>
  </r>
  <r>
    <s v="1010US"/>
    <n v="66017"/>
    <d v="2018-10-13T00:00:00"/>
    <n v="8010"/>
    <n v="104"/>
    <m/>
    <n v="140"/>
    <n v="1680"/>
    <s v="Urban Right"/>
    <x v="1"/>
    <x v="10"/>
    <s v="USD"/>
    <n v="1680"/>
  </r>
  <r>
    <s v="1010US"/>
    <n v="66016"/>
    <d v="2018-10-14T00:00:00"/>
    <n v="8020"/>
    <n v="103"/>
    <m/>
    <n v="120"/>
    <n v="1440"/>
    <s v="Urban Right"/>
    <x v="0"/>
    <x v="17"/>
    <s v="USD"/>
    <n v="1440"/>
  </r>
  <r>
    <s v="1010US"/>
    <n v="66016"/>
    <d v="2018-10-14T00:00:00"/>
    <n v="8020"/>
    <n v="104"/>
    <m/>
    <n v="130"/>
    <n v="1560"/>
    <s v="Urban Right"/>
    <x v="0"/>
    <x v="10"/>
    <s v="USD"/>
    <n v="1560"/>
  </r>
  <r>
    <s v="1010US"/>
    <n v="66016"/>
    <d v="2018-10-14T00:00:00"/>
    <n v="8020"/>
    <n v="105"/>
    <m/>
    <n v="120"/>
    <n v="1200"/>
    <s v="Urban Right"/>
    <x v="0"/>
    <x v="11"/>
    <s v="USD"/>
    <n v="1200"/>
  </r>
  <r>
    <s v="1010US"/>
    <n v="68097"/>
    <d v="2018-10-17T00:00:00"/>
    <n v="8010"/>
    <n v="104"/>
    <m/>
    <n v="140"/>
    <n v="1680"/>
    <s v="Urban Right"/>
    <x v="1"/>
    <x v="10"/>
    <s v="USD"/>
    <n v="1680"/>
  </r>
  <r>
    <s v="1010US"/>
    <n v="68097"/>
    <d v="2018-10-17T00:00:00"/>
    <n v="8010"/>
    <n v="105"/>
    <m/>
    <n v="130"/>
    <n v="1300"/>
    <s v="Urban Right"/>
    <x v="1"/>
    <x v="11"/>
    <s v="USD"/>
    <n v="1300"/>
  </r>
  <r>
    <s v="1010US"/>
    <n v="68099"/>
    <d v="2018-10-17T00:00:00"/>
    <n v="8020"/>
    <n v="104"/>
    <m/>
    <n v="120"/>
    <n v="1440"/>
    <s v="Urban Right"/>
    <x v="0"/>
    <x v="10"/>
    <s v="USD"/>
    <n v="1440"/>
  </r>
  <r>
    <s v="1010US"/>
    <n v="68099"/>
    <d v="2018-10-17T00:00:00"/>
    <n v="8020"/>
    <n v="105"/>
    <n v="2"/>
    <n v="140"/>
    <n v="1400"/>
    <s v="Urban Right"/>
    <x v="0"/>
    <x v="11"/>
    <s v="USD"/>
    <n v="1400"/>
  </r>
  <r>
    <s v="1010US"/>
    <n v="68099"/>
    <d v="2018-10-17T00:00:00"/>
    <n v="8020"/>
    <n v="107"/>
    <m/>
    <n v="170"/>
    <n v="850"/>
    <s v="Urban Right"/>
    <x v="0"/>
    <x v="12"/>
    <s v="USD"/>
    <n v="850"/>
  </r>
  <r>
    <s v="1010US"/>
    <n v="68101"/>
    <d v="2018-10-17T00:00:00"/>
    <n v="8010"/>
    <n v="104"/>
    <m/>
    <n v="190"/>
    <n v="2280"/>
    <s v="Urban Right"/>
    <x v="1"/>
    <x v="10"/>
    <s v="USD"/>
    <n v="2280"/>
  </r>
  <r>
    <s v="1010US"/>
    <n v="68101"/>
    <d v="2018-10-17T00:00:00"/>
    <n v="8010"/>
    <n v="105"/>
    <m/>
    <n v="140"/>
    <n v="1400"/>
    <s v="Urban Right"/>
    <x v="1"/>
    <x v="11"/>
    <s v="USD"/>
    <n v="1400"/>
  </r>
  <r>
    <s v="1010US"/>
    <n v="65627"/>
    <d v="2018-10-21T00:00:00"/>
    <n v="8020"/>
    <n v="103"/>
    <m/>
    <n v="140"/>
    <n v="1680"/>
    <s v="Urban Right"/>
    <x v="0"/>
    <x v="17"/>
    <s v="USD"/>
    <n v="1680"/>
  </r>
  <r>
    <s v="1010US"/>
    <n v="65627"/>
    <d v="2018-10-21T00:00:00"/>
    <n v="8020"/>
    <n v="104"/>
    <n v="3"/>
    <n v="160"/>
    <n v="1920"/>
    <s v="Urban Right"/>
    <x v="0"/>
    <x v="10"/>
    <s v="USD"/>
    <n v="1920"/>
  </r>
  <r>
    <s v="1010US"/>
    <n v="65629"/>
    <d v="2018-10-21T00:00:00"/>
    <n v="8010"/>
    <n v="103"/>
    <m/>
    <n v="190"/>
    <n v="2280"/>
    <s v="Urban Right"/>
    <x v="1"/>
    <x v="17"/>
    <s v="USD"/>
    <n v="2280"/>
  </r>
  <r>
    <s v="1010US"/>
    <n v="65629"/>
    <d v="2018-10-21T00:00:00"/>
    <n v="8010"/>
    <n v="104"/>
    <m/>
    <n v="130"/>
    <n v="1560"/>
    <s v="Urban Right"/>
    <x v="1"/>
    <x v="10"/>
    <s v="USD"/>
    <n v="1560"/>
  </r>
  <r>
    <s v="1010US"/>
    <n v="65629"/>
    <d v="2018-10-21T00:00:00"/>
    <n v="8010"/>
    <n v="105"/>
    <m/>
    <n v="140"/>
    <n v="1400"/>
    <s v="Urban Right"/>
    <x v="1"/>
    <x v="11"/>
    <s v="USD"/>
    <n v="1400"/>
  </r>
  <r>
    <s v="1010US"/>
    <n v="65631"/>
    <d v="2018-10-21T00:00:00"/>
    <n v="8020"/>
    <n v="107"/>
    <m/>
    <n v="190"/>
    <n v="950"/>
    <s v="Urban Right"/>
    <x v="0"/>
    <x v="12"/>
    <s v="USD"/>
    <n v="950"/>
  </r>
  <r>
    <s v="1010US"/>
    <n v="65631"/>
    <d v="2018-10-21T00:00:00"/>
    <n v="8020"/>
    <n v="103"/>
    <m/>
    <n v="120"/>
    <n v="1440"/>
    <s v="Urban Right"/>
    <x v="0"/>
    <x v="17"/>
    <s v="USD"/>
    <n v="14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25B9F8-1E77-4385-B3F5-4969B52012D3}" name="PTRejec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4:AA24" firstHeaderRow="1" firstDataRow="1" firstDataCol="1"/>
  <pivotFields count="13">
    <pivotField showAll="0"/>
    <pivotField showAll="0"/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0">
        <item x="3"/>
        <item x="16"/>
        <item x="2"/>
        <item x="4"/>
        <item x="5"/>
        <item x="7"/>
        <item x="6"/>
        <item x="1"/>
        <item x="0"/>
        <item x="13"/>
        <item x="15"/>
        <item x="18"/>
        <item x="8"/>
        <item x="12"/>
        <item x="11"/>
        <item x="9"/>
        <item x="14"/>
        <item x="10"/>
        <item x="17"/>
        <item t="default"/>
      </items>
    </pivotField>
    <pivotField showAll="0"/>
    <pivotField numFmtId="2" showAll="0"/>
  </pivotFields>
  <rowFields count="1">
    <field x="1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Count of Reject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43581A-A7B7-4D84-9F0C-03B6706137FC}" name="PTArticl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4:W24" firstHeaderRow="0" firstDataRow="1" firstDataCol="1"/>
  <pivotFields count="13">
    <pivotField showAll="0"/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20">
        <item x="3"/>
        <item x="16"/>
        <item x="2"/>
        <item x="4"/>
        <item x="5"/>
        <item x="7"/>
        <item x="6"/>
        <item x="1"/>
        <item x="0"/>
        <item x="13"/>
        <item x="15"/>
        <item x="18"/>
        <item x="8"/>
        <item x="12"/>
        <item x="11"/>
        <item x="9"/>
        <item x="14"/>
        <item x="10"/>
        <item x="17"/>
        <item t="default"/>
      </items>
    </pivotField>
    <pivotField showAll="0"/>
    <pivotField dataField="1" numFmtId="2" showAll="0"/>
  </pivotFields>
  <rowFields count="1">
    <field x="1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 US Dollar" fld="12" baseField="0" baseItem="0"/>
    <dataField name="Sum of Quanti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413F9E-4768-4F0E-A306-1A9D548CBAA0}" name="PTReg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3:R10" firstHeaderRow="0" firstDataRow="1" firstDataCol="1"/>
  <pivotFields count="13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1"/>
        <item x="4"/>
        <item x="0"/>
        <item x="5"/>
        <item x="3"/>
        <item t="default"/>
      </items>
    </pivotField>
    <pivotField showAll="0"/>
    <pivotField showAll="0"/>
    <pivotField dataField="1" numFmtId="2" showAl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 US Dollar" fld="12" baseField="0" baseItem="0" numFmtId="164"/>
    <dataField name="Sum of Sales US Dollar2" fld="12" showDataAs="percentOfTotal" baseField="0" baseItem="0" numFmtId="10"/>
  </dataFields>
  <formats count="1"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36D779-DE43-4A85-B1B4-98F941F1CCE1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4:AG61" firstHeaderRow="0" firstDataRow="1" firstDataCol="1"/>
  <pivotFields count="13">
    <pivotField showAll="0"/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axis="axisRow" showAll="0">
      <items count="7">
        <item x="2"/>
        <item x="1"/>
        <item x="4"/>
        <item x="0"/>
        <item x="5"/>
        <item x="3"/>
        <item t="default"/>
      </items>
    </pivotField>
    <pivotField axis="axisRow" showAll="0">
      <items count="20">
        <item x="3"/>
        <item x="16"/>
        <item x="2"/>
        <item x="4"/>
        <item x="5"/>
        <item x="7"/>
        <item x="6"/>
        <item x="1"/>
        <item x="0"/>
        <item x="13"/>
        <item x="15"/>
        <item x="18"/>
        <item x="8"/>
        <item x="12"/>
        <item x="11"/>
        <item x="9"/>
        <item x="14"/>
        <item x="10"/>
        <item x="17"/>
        <item t="default"/>
      </items>
    </pivotField>
    <pivotField showAll="0"/>
    <pivotField dataField="1" numFmtId="2" showAll="0"/>
  </pivotFields>
  <rowFields count="2">
    <field x="9"/>
    <field x="10"/>
  </rowFields>
  <rowItems count="57">
    <i>
      <x/>
    </i>
    <i r="1">
      <x/>
    </i>
    <i r="1">
      <x v="1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>
      <x v="1"/>
    </i>
    <i r="1">
      <x v="2"/>
    </i>
    <i r="1">
      <x v="5"/>
    </i>
    <i r="1">
      <x v="6"/>
    </i>
    <i r="1">
      <x v="7"/>
    </i>
    <i r="1">
      <x v="8"/>
    </i>
    <i r="1">
      <x v="12"/>
    </i>
    <i r="1">
      <x v="14"/>
    </i>
    <i r="1">
      <x v="17"/>
    </i>
    <i r="1">
      <x v="18"/>
    </i>
    <i>
      <x v="2"/>
    </i>
    <i r="1">
      <x v="11"/>
    </i>
    <i r="1">
      <x v="12"/>
    </i>
    <i r="1">
      <x v="13"/>
    </i>
    <i r="1">
      <x v="14"/>
    </i>
    <i r="1">
      <x v="16"/>
    </i>
    <i>
      <x v="3"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3"/>
    </i>
    <i r="1">
      <x v="14"/>
    </i>
    <i r="1">
      <x v="17"/>
    </i>
    <i r="1">
      <x v="18"/>
    </i>
    <i>
      <x v="4"/>
    </i>
    <i r="1">
      <x/>
    </i>
    <i r="1">
      <x v="1"/>
    </i>
    <i r="1">
      <x v="9"/>
    </i>
    <i>
      <x v="5"/>
    </i>
    <i r="1">
      <x v="1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 US Dollar" fld="12" baseField="0" baseItem="0"/>
    <dataField name="Sum of Quanti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E7915C-059E-4603-8F64-1FB28694C766}" name="TableTemp2" displayName="TableTemp2" ref="A1:M162" totalsRowShown="0" headerRowDxfId="16" dataDxfId="15">
  <tableColumns count="13">
    <tableColumn id="1" xr3:uid="{01A46FBC-301D-4F0A-9940-9168569643B3}" name="Company" dataDxfId="14"/>
    <tableColumn id="2" xr3:uid="{385CF8B7-A5C0-42F5-869C-0830665F4562}" name="Sales Document" dataDxfId="13"/>
    <tableColumn id="3" xr3:uid="{A451ADFF-6E9F-41A1-A3AA-43FBBC406055}" name="Document Date" dataDxfId="12"/>
    <tableColumn id="4" xr3:uid="{8AB31777-9274-47A2-89C3-E15881746034}" name="Customer Code" dataDxfId="11"/>
    <tableColumn id="5" xr3:uid="{15535433-2553-4F97-BD77-6DCCD5F07529}" name="Article code" dataDxfId="10"/>
    <tableColumn id="6" xr3:uid="{76526D21-F3D2-4031-9DD9-324ED2FC59BA}" name="Reject" dataDxfId="9"/>
    <tableColumn id="7" xr3:uid="{914CC1E5-42A1-4DB4-A0B2-65B0BEA75CD7}" name="Quantity" dataDxfId="8"/>
    <tableColumn id="8" xr3:uid="{0D5A7A85-ECDA-428E-9B69-685A072768C9}" name="Sales Local Currency" dataDxfId="7"/>
    <tableColumn id="9" xr3:uid="{C78E367E-4503-4862-8EF1-42D803F087A2}" name="Company Name" dataDxfId="6">
      <calculatedColumnFormula>VLOOKUP(A2,MCompany[],2,FALSE)</calculatedColumnFormula>
    </tableColumn>
    <tableColumn id="10" xr3:uid="{8EBB83C6-2CEA-4133-BFB5-F07C5D078C50}" name="Customer Name" dataDxfId="5">
      <calculatedColumnFormula>VLOOKUP(TableTemp2[[#This Row],[Customer Code]],MCustomer[],2,FALSE)</calculatedColumnFormula>
    </tableColumn>
    <tableColumn id="11" xr3:uid="{DB16CCEF-A4A7-46AF-9A65-77839BCE3671}" name="Article Description" dataDxfId="4">
      <calculatedColumnFormula>VLOOKUP(TableTemp2[[#This Row],[Article code]],MArticle[],2,FALSE)</calculatedColumnFormula>
    </tableColumn>
    <tableColumn id="13" xr3:uid="{03DFD13E-482E-4FAC-9591-E6B7B93D12AC}" name="Currency" dataDxfId="3">
      <calculatedColumnFormula>VLOOKUP(TableTemp2[[#This Row],[Company]],MCompany[],3,FALSE)</calculatedColumnFormula>
    </tableColumn>
    <tableColumn id="12" xr3:uid="{0F42AE7B-0ECC-4432-A419-A5663BC83F45}" name="Sales US Dollar" dataDxfId="2">
      <calculatedColumnFormula>IF(TableTemp2[[#This Row],[Currency]]="EUR",ROUND(VLOOKUP(MONTH(TableTemp2[[#This Row],[Document Date]]),MExchange[],2,FALSE)*TableTemp2[[#This Row],[Sales Local Currency]],2),ROUND(TableTemp2[[#This Row],[Sales Local Currency]],2))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2CBA7AC-D33D-431B-AB85-29C515108BA4}" name="MCompany" displayName="MCompany" ref="B8:E12" tableBorderDxfId="1">
  <autoFilter ref="B8:E12" xr:uid="{12CBA7AC-D33D-431B-AB85-29C515108BA4}"/>
  <tableColumns count="4">
    <tableColumn id="1" xr3:uid="{AC41043F-5BEA-4F14-8DB4-DBEFC033552F}" name="Company code" totalsRowLabel="Total"/>
    <tableColumn id="2" xr3:uid="{0F6AC256-FBE1-419A-96AB-B8287C89970B}" name="Company Name"/>
    <tableColumn id="3" xr3:uid="{3915B2E1-0A0C-4718-AF83-66557A75B3CC}" name="Currency" totalsRowFunction="count"/>
    <tableColumn id="4" xr3:uid="{F23B8B7B-262D-4CA5-A705-BED5D9B63B81}" name="Region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8B6E2D4-5209-49E2-8650-9CED66F6B908}" name="MCustomer" displayName="MCustomer" ref="B16:C22" totalsRowShown="0">
  <autoFilter ref="B16:C22" xr:uid="{98B6E2D4-5209-49E2-8650-9CED66F6B908}"/>
  <tableColumns count="2">
    <tableColumn id="1" xr3:uid="{49B79337-8EED-4095-ADA3-6011F5A0EBBD}" name="Customer code"/>
    <tableColumn id="2" xr3:uid="{30B833FD-B2E7-401B-9607-DF581FF736CF}" name="Customer Name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FF3E32-5B97-4F01-8843-75010388A6D9}" name="MArticle" displayName="MArticle" ref="B26:C46" totalsRowShown="0">
  <autoFilter ref="B26:C46" xr:uid="{36FF3E32-5B97-4F01-8843-75010388A6D9}"/>
  <tableColumns count="2">
    <tableColumn id="1" xr3:uid="{DFD52984-69A9-4773-BBD9-0FFB09CC3CD1}" name="Article code" dataDxfId="0"/>
    <tableColumn id="2" xr3:uid="{CD81C070-081F-4E94-9DE0-1A0532CF9BC4}" name="Description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62187AC-94BE-43F3-B7CD-178A752B7687}" name="MExchange" displayName="MExchange" ref="B52:C64" totalsRowShown="0">
  <autoFilter ref="B52:C64" xr:uid="{962187AC-94BE-43F3-B7CD-178A752B7687}"/>
  <tableColumns count="2">
    <tableColumn id="1" xr3:uid="{55D1DC36-E17A-4C3C-9D36-D21C644654AC}" name="Month"/>
    <tableColumn id="2" xr3:uid="{7DF0CAAD-82A0-464E-B696-CA1C8BBA4765}" name="EUR to $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AE45-CF40-4DAC-ACAA-0B4784AD58D4}">
  <sheetPr codeName="shStart"/>
  <dimension ref="A1:Q37"/>
  <sheetViews>
    <sheetView showGridLines="0" tabSelected="1" workbookViewId="0">
      <selection activeCell="C23" sqref="C23"/>
    </sheetView>
  </sheetViews>
  <sheetFormatPr defaultColWidth="0" defaultRowHeight="13.2" customHeight="1" zeroHeight="1" x14ac:dyDescent="0.25"/>
  <cols>
    <col min="1" max="1" width="4" style="1" customWidth="1"/>
    <col min="2" max="2" width="9.109375" style="1" customWidth="1"/>
    <col min="3" max="3" width="19.88671875" style="1" customWidth="1"/>
    <col min="4" max="4" width="9.109375" style="1" customWidth="1"/>
    <col min="5" max="5" width="5.88671875" style="1" customWidth="1"/>
    <col min="6" max="6" width="9.109375" style="1" customWidth="1"/>
    <col min="7" max="7" width="12.88671875" style="1" customWidth="1"/>
    <col min="8" max="8" width="4.5546875" style="1" customWidth="1"/>
    <col min="9" max="17" width="9.109375" style="1" customWidth="1"/>
    <col min="18" max="16384" width="9.109375" style="1" hidden="1"/>
  </cols>
  <sheetData>
    <row r="1" spans="8:8" ht="28.95" customHeight="1" x14ac:dyDescent="0.25"/>
    <row r="2" spans="8:8" ht="11.7" customHeight="1" x14ac:dyDescent="0.25"/>
    <row r="3" spans="8:8" x14ac:dyDescent="0.25"/>
    <row r="4" spans="8:8" x14ac:dyDescent="0.25"/>
    <row r="5" spans="8:8" x14ac:dyDescent="0.25"/>
    <row r="6" spans="8:8" x14ac:dyDescent="0.25"/>
    <row r="7" spans="8:8" x14ac:dyDescent="0.25"/>
    <row r="8" spans="8:8" x14ac:dyDescent="0.25"/>
    <row r="9" spans="8:8" x14ac:dyDescent="0.25"/>
    <row r="10" spans="8:8" x14ac:dyDescent="0.25"/>
    <row r="11" spans="8:8" x14ac:dyDescent="0.25"/>
    <row r="12" spans="8:8" x14ac:dyDescent="0.25">
      <c r="H12" s="2"/>
    </row>
    <row r="13" spans="8:8" x14ac:dyDescent="0.25">
      <c r="H13" s="2"/>
    </row>
    <row r="14" spans="8:8" x14ac:dyDescent="0.25"/>
    <row r="15" spans="8:8" x14ac:dyDescent="0.25"/>
    <row r="16" spans="8:8" x14ac:dyDescent="0.25"/>
    <row r="17" spans="2:5" x14ac:dyDescent="0.25"/>
    <row r="18" spans="2:5" x14ac:dyDescent="0.25"/>
    <row r="19" spans="2:5" x14ac:dyDescent="0.25">
      <c r="B19" s="42" t="s">
        <v>97</v>
      </c>
      <c r="C19" s="42"/>
      <c r="D19" s="42"/>
      <c r="E19" s="42"/>
    </row>
    <row r="20" spans="2:5" x14ac:dyDescent="0.25"/>
    <row r="21" spans="2:5" x14ac:dyDescent="0.25"/>
    <row r="22" spans="2:5" x14ac:dyDescent="0.25"/>
    <row r="23" spans="2:5" x14ac:dyDescent="0.25"/>
    <row r="24" spans="2:5" x14ac:dyDescent="0.25"/>
    <row r="25" spans="2:5" x14ac:dyDescent="0.25"/>
    <row r="26" spans="2:5" x14ac:dyDescent="0.25"/>
    <row r="27" spans="2:5" x14ac:dyDescent="0.25"/>
    <row r="28" spans="2:5" x14ac:dyDescent="0.25"/>
    <row r="29" spans="2:5" x14ac:dyDescent="0.25"/>
    <row r="30" spans="2:5" x14ac:dyDescent="0.25"/>
    <row r="31" spans="2:5" x14ac:dyDescent="0.25"/>
    <row r="32" spans="2:5" x14ac:dyDescent="0.25"/>
    <row r="33" x14ac:dyDescent="0.25"/>
    <row r="34" x14ac:dyDescent="0.25"/>
    <row r="35" x14ac:dyDescent="0.25"/>
    <row r="36" x14ac:dyDescent="0.25"/>
    <row r="37" x14ac:dyDescent="0.25"/>
  </sheetData>
  <mergeCells count="1">
    <mergeCell ref="B19:E19"/>
  </mergeCells>
  <pageMargins left="0.7" right="0.7" top="0.75" bottom="0.75" header="0.3" footer="0.3"/>
  <pageSetup paperSize="9" orientation="portrait" r:id="rId1"/>
  <headerFooter>
    <oddHeader>&amp;L&amp;"Calibri"&amp;10&amp;K000000 C2 - Internal&amp;1#_x000D_</oddHeader>
  </headerFooter>
  <drawing r:id="rId2"/>
  <legacyDrawing r:id="rId3"/>
  <controls>
    <mc:AlternateContent xmlns:mc="http://schemas.openxmlformats.org/markup-compatibility/2006">
      <mc:Choice Requires="x14">
        <control shapeId="1026" r:id="rId4" name="AxRegion">
          <controlPr defaultSize="0" autoLine="0" listFillRange="MRegion" r:id="rId5">
            <anchor moveWithCells="1">
              <from>
                <xdr:col>5</xdr:col>
                <xdr:colOff>281940</xdr:colOff>
                <xdr:row>13</xdr:row>
                <xdr:rowOff>22860</xdr:rowOff>
              </from>
              <to>
                <xdr:col>6</xdr:col>
                <xdr:colOff>647700</xdr:colOff>
                <xdr:row>14</xdr:row>
                <xdr:rowOff>76200</xdr:rowOff>
              </to>
            </anchor>
          </controlPr>
        </control>
      </mc:Choice>
      <mc:Fallback>
        <control shapeId="1026" r:id="rId4" name="AxRegion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_Sales">
            <anchor moveWithCells="1" sizeWithCells="1">
              <from>
                <xdr:col>1</xdr:col>
                <xdr:colOff>350520</xdr:colOff>
                <xdr:row>11</xdr:row>
                <xdr:rowOff>114300</xdr:rowOff>
              </from>
              <to>
                <xdr:col>3</xdr:col>
                <xdr:colOff>426720</xdr:colOff>
                <xdr:row>14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Create_Reports">
            <anchor moveWithCells="1" sizeWithCells="1">
              <from>
                <xdr:col>4</xdr:col>
                <xdr:colOff>182880</xdr:colOff>
                <xdr:row>11</xdr:row>
                <xdr:rowOff>7620</xdr:rowOff>
              </from>
              <to>
                <xdr:col>7</xdr:col>
                <xdr:colOff>266700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Create_CSV">
            <anchor moveWithCells="1" sizeWithCells="1">
              <from>
                <xdr:col>9</xdr:col>
                <xdr:colOff>297180</xdr:colOff>
                <xdr:row>11</xdr:row>
                <xdr:rowOff>99060</xdr:rowOff>
              </from>
              <to>
                <xdr:col>11</xdr:col>
                <xdr:colOff>457200</xdr:colOff>
                <xdr:row>14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Clear_OldMonth">
            <anchor moveWithCells="1" sizeWithCells="1">
              <from>
                <xdr:col>13</xdr:col>
                <xdr:colOff>373380</xdr:colOff>
                <xdr:row>16</xdr:row>
                <xdr:rowOff>0</xdr:rowOff>
              </from>
              <to>
                <xdr:col>16</xdr:col>
                <xdr:colOff>53340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Admin_Tasks">
            <anchor moveWithCells="1" sizeWithCells="1">
              <from>
                <xdr:col>13</xdr:col>
                <xdr:colOff>472440</xdr:colOff>
                <xdr:row>12</xdr:row>
                <xdr:rowOff>7620</xdr:rowOff>
              </from>
              <to>
                <xdr:col>16</xdr:col>
                <xdr:colOff>83820</xdr:colOff>
                <xdr:row>14</xdr:row>
                <xdr:rowOff>83820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A44D-EB41-473B-A66E-F99C29D789EA}">
  <sheetPr codeName="shAll"/>
  <dimension ref="A1:H1"/>
  <sheetViews>
    <sheetView workbookViewId="0">
      <selection activeCell="H65" sqref="H65:H106"/>
    </sheetView>
  </sheetViews>
  <sheetFormatPr defaultColWidth="9.109375" defaultRowHeight="13.2" x14ac:dyDescent="0.25"/>
  <cols>
    <col min="1" max="1" width="13.5546875" style="4" customWidth="1"/>
    <col min="2" max="8" width="16" style="4" customWidth="1"/>
    <col min="9" max="16384" width="9.109375" style="4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CA88-093E-4E80-9955-A603CEF155DE}">
  <sheetPr codeName="shRegion"/>
  <dimension ref="A1:AR162"/>
  <sheetViews>
    <sheetView workbookViewId="0">
      <selection activeCell="A2" sqref="A2"/>
    </sheetView>
  </sheetViews>
  <sheetFormatPr defaultRowHeight="14.4" x14ac:dyDescent="0.3"/>
  <cols>
    <col min="1" max="5" width="13.88671875" customWidth="1"/>
    <col min="6" max="6" width="8.5546875" customWidth="1"/>
    <col min="7" max="13" width="13.88671875" customWidth="1"/>
    <col min="15" max="15" width="3.21875" customWidth="1"/>
    <col min="16" max="16" width="19.21875" customWidth="1"/>
    <col min="17" max="17" width="13.109375" customWidth="1"/>
    <col min="18" max="18" width="21" bestFit="1" customWidth="1"/>
    <col min="19" max="19" width="9.88671875" customWidth="1"/>
    <col min="20" max="20" width="2.5546875" customWidth="1"/>
    <col min="21" max="21" width="29.33203125" bestFit="1" customWidth="1"/>
    <col min="22" max="22" width="20" bestFit="1" customWidth="1"/>
    <col min="23" max="23" width="14.88671875" bestFit="1" customWidth="1"/>
    <col min="24" max="24" width="6.21875" customWidth="1"/>
    <col min="25" max="25" width="5.21875" customWidth="1"/>
    <col min="26" max="26" width="29.33203125" bestFit="1" customWidth="1"/>
    <col min="27" max="27" width="14.109375" bestFit="1" customWidth="1"/>
    <col min="28" max="28" width="21" bestFit="1" customWidth="1"/>
    <col min="29" max="30" width="9.88671875" customWidth="1"/>
    <col min="31" max="31" width="33.44140625" bestFit="1" customWidth="1"/>
    <col min="32" max="32" width="20" bestFit="1" customWidth="1"/>
    <col min="33" max="33" width="14.88671875" bestFit="1" customWidth="1"/>
    <col min="34" max="34" width="37.44140625" customWidth="1"/>
    <col min="35" max="35" width="22.5546875" bestFit="1" customWidth="1"/>
    <col min="36" max="36" width="15.77734375" customWidth="1"/>
  </cols>
  <sheetData>
    <row r="1" spans="1:44" ht="27.75" customHeight="1" x14ac:dyDescent="0.3">
      <c r="A1" s="30" t="s">
        <v>98</v>
      </c>
      <c r="B1" s="30" t="s">
        <v>1</v>
      </c>
      <c r="C1" s="30" t="s">
        <v>2</v>
      </c>
      <c r="D1" s="30" t="s">
        <v>99</v>
      </c>
      <c r="E1" s="30" t="s">
        <v>4</v>
      </c>
      <c r="F1" s="30" t="s">
        <v>5</v>
      </c>
      <c r="G1" s="30" t="s">
        <v>6</v>
      </c>
      <c r="H1" s="30" t="s">
        <v>90</v>
      </c>
      <c r="I1" s="30" t="s">
        <v>12</v>
      </c>
      <c r="J1" s="30" t="s">
        <v>29</v>
      </c>
      <c r="K1" s="30" t="s">
        <v>91</v>
      </c>
      <c r="L1" s="30" t="s">
        <v>13</v>
      </c>
      <c r="M1" s="30" t="s">
        <v>92</v>
      </c>
      <c r="O1" s="31"/>
      <c r="P1" s="32" t="s">
        <v>100</v>
      </c>
      <c r="Q1" s="33"/>
      <c r="R1" s="34">
        <v>201810</v>
      </c>
      <c r="T1" s="31"/>
      <c r="U1" s="32" t="s">
        <v>101</v>
      </c>
      <c r="V1" s="33"/>
      <c r="W1" s="33"/>
      <c r="X1" s="33"/>
      <c r="Y1" s="33"/>
      <c r="Z1" s="33"/>
      <c r="AA1" s="33"/>
      <c r="AB1" s="33"/>
      <c r="AC1" s="33"/>
      <c r="AD1" s="33"/>
      <c r="AE1" s="35"/>
      <c r="AF1" s="35"/>
      <c r="AG1" s="36"/>
      <c r="AH1" s="32" t="s">
        <v>102</v>
      </c>
      <c r="AI1" s="32"/>
      <c r="AJ1" s="33"/>
      <c r="AK1" s="33"/>
      <c r="AL1" s="33"/>
      <c r="AM1" s="33"/>
      <c r="AN1" s="33"/>
      <c r="AO1" s="33"/>
      <c r="AP1" s="33"/>
      <c r="AQ1" s="33"/>
      <c r="AR1" s="33"/>
    </row>
    <row r="2" spans="1:44" x14ac:dyDescent="0.3">
      <c r="A2" s="4" t="s">
        <v>20</v>
      </c>
      <c r="B2">
        <v>24030</v>
      </c>
      <c r="C2" s="24">
        <v>43375</v>
      </c>
      <c r="D2">
        <v>8020</v>
      </c>
      <c r="E2">
        <v>101</v>
      </c>
      <c r="F2">
        <v>1</v>
      </c>
      <c r="G2">
        <v>130</v>
      </c>
      <c r="H2">
        <v>1560</v>
      </c>
      <c r="I2" s="37" t="str">
        <f>VLOOKUP(A2,MCompany[],2,FALSE)</f>
        <v>Meta Creations</v>
      </c>
      <c r="J2" t="str">
        <f>VLOOKUP(TableTemp2[[#This Row],[Customer Code]],MCustomer[],2,FALSE)</f>
        <v>Erma</v>
      </c>
      <c r="K2" t="str">
        <f>VLOOKUP(TableTemp2[[#This Row],[Article code]],MArticle[],2,FALSE)</f>
        <v>Men type T simple white</v>
      </c>
      <c r="L2" t="str">
        <f>VLOOKUP(TableTemp2[[#This Row],[Company]],MCompany[],3,FALSE)</f>
        <v>USD</v>
      </c>
      <c r="M2" s="38">
        <f>IF(TableTemp2[[#This Row],[Currency]]="EUR",ROUND(VLOOKUP(MONTH(TableTemp2[[#This Row],[Document Date]]),MExchange[],2,FALSE)*TableTemp2[[#This Row],[Sales Local Currency]],2),ROUND(TableTemp2[[#This Row],[Sales Local Currency]],2))</f>
        <v>1560</v>
      </c>
    </row>
    <row r="3" spans="1:44" x14ac:dyDescent="0.3">
      <c r="A3" s="4" t="s">
        <v>20</v>
      </c>
      <c r="B3">
        <v>24030</v>
      </c>
      <c r="C3" s="24">
        <v>43375</v>
      </c>
      <c r="D3">
        <v>8020</v>
      </c>
      <c r="E3">
        <v>102</v>
      </c>
      <c r="G3">
        <v>30</v>
      </c>
      <c r="H3">
        <v>360</v>
      </c>
      <c r="I3" s="37" t="str">
        <f>VLOOKUP(A3,MCompany[],2,FALSE)</f>
        <v>Meta Creations</v>
      </c>
      <c r="J3" t="str">
        <f>VLOOKUP(TableTemp2[[#This Row],[Customer Code]],MCustomer[],2,FALSE)</f>
        <v>Erma</v>
      </c>
      <c r="K3" t="str">
        <f>VLOOKUP(TableTemp2[[#This Row],[Article code]],MArticle[],2,FALSE)</f>
        <v>Men type T simple black</v>
      </c>
      <c r="L3" t="str">
        <f>VLOOKUP(TableTemp2[[#This Row],[Company]],MCompany[],3,FALSE)</f>
        <v>USD</v>
      </c>
      <c r="M3" s="38">
        <f>IF(TableTemp2[[#This Row],[Currency]]="EUR",ROUND(VLOOKUP(MONTH(TableTemp2[[#This Row],[Document Date]]),MExchange[],2,FALSE)*TableTemp2[[#This Row],[Sales Local Currency]],2),ROUND(TableTemp2[[#This Row],[Sales Local Currency]],2))</f>
        <v>360</v>
      </c>
      <c r="P3" s="25" t="s">
        <v>93</v>
      </c>
      <c r="Q3" t="s">
        <v>95</v>
      </c>
      <c r="R3" t="s">
        <v>103</v>
      </c>
      <c r="S3" s="40"/>
      <c r="AD3" s="39"/>
    </row>
    <row r="4" spans="1:44" x14ac:dyDescent="0.3">
      <c r="A4" s="4" t="s">
        <v>20</v>
      </c>
      <c r="B4">
        <v>24030</v>
      </c>
      <c r="C4" s="24">
        <v>43375</v>
      </c>
      <c r="D4">
        <v>8020</v>
      </c>
      <c r="E4">
        <v>106</v>
      </c>
      <c r="F4" t="s">
        <v>89</v>
      </c>
      <c r="G4">
        <v>60</v>
      </c>
      <c r="H4">
        <v>300</v>
      </c>
      <c r="I4" s="37" t="str">
        <f>VLOOKUP(A4,MCompany[],2,FALSE)</f>
        <v>Meta Creations</v>
      </c>
      <c r="J4" t="str">
        <f>VLOOKUP(TableTemp2[[#This Row],[Customer Code]],MCustomer[],2,FALSE)</f>
        <v>Erma</v>
      </c>
      <c r="K4" t="str">
        <f>VLOOKUP(TableTemp2[[#This Row],[Article code]],MArticle[],2,FALSE)</f>
        <v>Men basics</v>
      </c>
      <c r="L4" t="str">
        <f>VLOOKUP(TableTemp2[[#This Row],[Company]],MCompany[],3,FALSE)</f>
        <v>USD</v>
      </c>
      <c r="M4" s="38">
        <f>IF(TableTemp2[[#This Row],[Currency]]="EUR",ROUND(VLOOKUP(MONTH(TableTemp2[[#This Row],[Document Date]]),MExchange[],2,FALSE)*TableTemp2[[#This Row],[Sales Local Currency]],2),ROUND(TableTemp2[[#This Row],[Sales Local Currency]],2))</f>
        <v>300</v>
      </c>
      <c r="P4" s="26" t="s">
        <v>34</v>
      </c>
      <c r="Q4" s="28">
        <v>148820</v>
      </c>
      <c r="R4" s="27">
        <v>0.22633187839338129</v>
      </c>
      <c r="S4" s="40"/>
      <c r="U4" s="25" t="s">
        <v>93</v>
      </c>
      <c r="V4" t="s">
        <v>95</v>
      </c>
      <c r="W4" t="s">
        <v>96</v>
      </c>
      <c r="Z4" s="25" t="s">
        <v>93</v>
      </c>
      <c r="AA4" t="s">
        <v>104</v>
      </c>
      <c r="AD4" s="39"/>
      <c r="AE4" s="25" t="s">
        <v>93</v>
      </c>
      <c r="AF4" t="s">
        <v>95</v>
      </c>
      <c r="AG4" t="s">
        <v>96</v>
      </c>
    </row>
    <row r="5" spans="1:44" x14ac:dyDescent="0.3">
      <c r="A5" s="4" t="s">
        <v>20</v>
      </c>
      <c r="B5">
        <v>24030</v>
      </c>
      <c r="C5" s="24">
        <v>43375</v>
      </c>
      <c r="D5">
        <v>8020</v>
      </c>
      <c r="E5">
        <v>108</v>
      </c>
      <c r="G5">
        <v>80</v>
      </c>
      <c r="H5">
        <v>2240</v>
      </c>
      <c r="I5" s="37" t="str">
        <f>VLOOKUP(A5,MCompany[],2,FALSE)</f>
        <v>Meta Creations</v>
      </c>
      <c r="J5" t="str">
        <f>VLOOKUP(TableTemp2[[#This Row],[Customer Code]],MCustomer[],2,FALSE)</f>
        <v>Erma</v>
      </c>
      <c r="K5" t="str">
        <f>VLOOKUP(TableTemp2[[#This Row],[Article code]],MArticle[],2,FALSE)</f>
        <v>Laptop bag black</v>
      </c>
      <c r="L5" t="str">
        <f>VLOOKUP(TableTemp2[[#This Row],[Company]],MCompany[],3,FALSE)</f>
        <v>USD</v>
      </c>
      <c r="M5" s="38">
        <f>IF(TableTemp2[[#This Row],[Currency]]="EUR",ROUND(VLOOKUP(MONTH(TableTemp2[[#This Row],[Document Date]]),MExchange[],2,FALSE)*TableTemp2[[#This Row],[Sales Local Currency]],2),ROUND(TableTemp2[[#This Row],[Sales Local Currency]],2))</f>
        <v>2240</v>
      </c>
      <c r="P5" s="26" t="s">
        <v>30</v>
      </c>
      <c r="Q5" s="28">
        <v>47520</v>
      </c>
      <c r="R5" s="27">
        <v>7.2270466746764406E-2</v>
      </c>
      <c r="S5" s="40"/>
      <c r="U5" s="26" t="s">
        <v>45</v>
      </c>
      <c r="V5">
        <v>49560</v>
      </c>
      <c r="W5">
        <v>1770</v>
      </c>
      <c r="Z5" s="26" t="s">
        <v>45</v>
      </c>
      <c r="AA5">
        <v>5</v>
      </c>
      <c r="AD5" s="39"/>
      <c r="AE5" s="26" t="s">
        <v>34</v>
      </c>
      <c r="AF5">
        <v>148820</v>
      </c>
      <c r="AG5">
        <v>6390</v>
      </c>
    </row>
    <row r="6" spans="1:44" x14ac:dyDescent="0.3">
      <c r="A6" s="4" t="s">
        <v>20</v>
      </c>
      <c r="B6">
        <v>24031</v>
      </c>
      <c r="C6" s="24">
        <v>43381</v>
      </c>
      <c r="D6">
        <v>8020</v>
      </c>
      <c r="E6">
        <v>101</v>
      </c>
      <c r="F6" t="s">
        <v>89</v>
      </c>
      <c r="G6">
        <v>100</v>
      </c>
      <c r="H6">
        <v>1200</v>
      </c>
      <c r="I6" s="37" t="str">
        <f>VLOOKUP(A6,MCompany[],2,FALSE)</f>
        <v>Meta Creations</v>
      </c>
      <c r="J6" t="str">
        <f>VLOOKUP(TableTemp2[[#This Row],[Customer Code]],MCustomer[],2,FALSE)</f>
        <v>Erma</v>
      </c>
      <c r="K6" t="str">
        <f>VLOOKUP(TableTemp2[[#This Row],[Article code]],MArticle[],2,FALSE)</f>
        <v>Men type T simple white</v>
      </c>
      <c r="L6" t="str">
        <f>VLOOKUP(TableTemp2[[#This Row],[Company]],MCompany[],3,FALSE)</f>
        <v>USD</v>
      </c>
      <c r="M6" s="38">
        <f>IF(TableTemp2[[#This Row],[Currency]]="EUR",ROUND(VLOOKUP(MONTH(TableTemp2[[#This Row],[Document Date]]),MExchange[],2,FALSE)*TableTemp2[[#This Row],[Sales Local Currency]],2),ROUND(TableTemp2[[#This Row],[Sales Local Currency]],2))</f>
        <v>1200</v>
      </c>
      <c r="P6" s="26" t="s">
        <v>32</v>
      </c>
      <c r="Q6" s="28">
        <v>31360</v>
      </c>
      <c r="R6" s="27">
        <v>4.7693641354767086E-2</v>
      </c>
      <c r="S6" s="40"/>
      <c r="U6" s="26" t="s">
        <v>46</v>
      </c>
      <c r="V6">
        <v>51240</v>
      </c>
      <c r="W6">
        <v>1830</v>
      </c>
      <c r="Z6" s="26" t="s">
        <v>46</v>
      </c>
      <c r="AA6">
        <v>6</v>
      </c>
      <c r="AD6" s="39"/>
      <c r="AE6" s="29" t="s">
        <v>45</v>
      </c>
      <c r="AF6">
        <v>32480</v>
      </c>
      <c r="AG6">
        <v>1160</v>
      </c>
    </row>
    <row r="7" spans="1:44" x14ac:dyDescent="0.3">
      <c r="A7" s="4" t="s">
        <v>20</v>
      </c>
      <c r="B7">
        <v>24031</v>
      </c>
      <c r="C7" s="24">
        <v>43381</v>
      </c>
      <c r="D7">
        <v>8020</v>
      </c>
      <c r="E7">
        <v>108</v>
      </c>
      <c r="F7" t="s">
        <v>89</v>
      </c>
      <c r="G7">
        <v>20</v>
      </c>
      <c r="H7">
        <v>560</v>
      </c>
      <c r="I7" s="37" t="str">
        <f>VLOOKUP(A7,MCompany[],2,FALSE)</f>
        <v>Meta Creations</v>
      </c>
      <c r="J7" t="str">
        <f>VLOOKUP(TableTemp2[[#This Row],[Customer Code]],MCustomer[],2,FALSE)</f>
        <v>Erma</v>
      </c>
      <c r="K7" t="str">
        <f>VLOOKUP(TableTemp2[[#This Row],[Article code]],MArticle[],2,FALSE)</f>
        <v>Laptop bag black</v>
      </c>
      <c r="L7" t="str">
        <f>VLOOKUP(TableTemp2[[#This Row],[Company]],MCompany[],3,FALSE)</f>
        <v>USD</v>
      </c>
      <c r="M7" s="38">
        <f>IF(TableTemp2[[#This Row],[Currency]]="EUR",ROUND(VLOOKUP(MONTH(TableTemp2[[#This Row],[Document Date]]),MExchange[],2,FALSE)*TableTemp2[[#This Row],[Sales Local Currency]],2),ROUND(TableTemp2[[#This Row],[Sales Local Currency]],2))</f>
        <v>560</v>
      </c>
      <c r="P7" s="26" t="s">
        <v>31</v>
      </c>
      <c r="Q7" s="28">
        <v>57860</v>
      </c>
      <c r="R7" s="27">
        <v>8.799598497406963E-2</v>
      </c>
      <c r="S7" s="40"/>
      <c r="U7" s="26" t="s">
        <v>43</v>
      </c>
      <c r="V7">
        <v>1500</v>
      </c>
      <c r="W7">
        <v>300</v>
      </c>
      <c r="Z7" s="26" t="s">
        <v>43</v>
      </c>
      <c r="AA7">
        <v>2</v>
      </c>
      <c r="AD7" s="39"/>
      <c r="AE7" s="29" t="s">
        <v>46</v>
      </c>
      <c r="AF7">
        <v>9800</v>
      </c>
      <c r="AG7">
        <v>350</v>
      </c>
    </row>
    <row r="8" spans="1:44" x14ac:dyDescent="0.3">
      <c r="A8" s="4" t="s">
        <v>20</v>
      </c>
      <c r="B8">
        <v>24031</v>
      </c>
      <c r="C8" s="24">
        <v>43381</v>
      </c>
      <c r="D8">
        <v>8020</v>
      </c>
      <c r="E8">
        <v>113</v>
      </c>
      <c r="F8" t="s">
        <v>89</v>
      </c>
      <c r="G8">
        <v>100</v>
      </c>
      <c r="H8">
        <v>2500</v>
      </c>
      <c r="I8" s="37" t="str">
        <f>VLOOKUP(A8,MCompany[],2,FALSE)</f>
        <v>Meta Creations</v>
      </c>
      <c r="J8" t="str">
        <f>VLOOKUP(TableTemp2[[#This Row],[Customer Code]],MCustomer[],2,FALSE)</f>
        <v>Erma</v>
      </c>
      <c r="K8" t="str">
        <f>VLOOKUP(TableTemp2[[#This Row],[Article code]],MArticle[],2,FALSE)</f>
        <v>Men dress shirt black</v>
      </c>
      <c r="L8" t="str">
        <f>VLOOKUP(TableTemp2[[#This Row],[Company]],MCompany[],3,FALSE)</f>
        <v>USD</v>
      </c>
      <c r="M8" s="38">
        <f>IF(TableTemp2[[#This Row],[Currency]]="EUR",ROUND(VLOOKUP(MONTH(TableTemp2[[#This Row],[Document Date]]),MExchange[],2,FALSE)*TableTemp2[[#This Row],[Sales Local Currency]],2),ROUND(TableTemp2[[#This Row],[Sales Local Currency]],2))</f>
        <v>2500</v>
      </c>
      <c r="P8" s="26" t="s">
        <v>35</v>
      </c>
      <c r="Q8" s="28">
        <v>49800</v>
      </c>
      <c r="R8" s="27">
        <v>7.5737989141179865E-2</v>
      </c>
      <c r="S8" s="40"/>
      <c r="U8" s="26" t="s">
        <v>50</v>
      </c>
      <c r="V8">
        <v>5000</v>
      </c>
      <c r="W8">
        <v>200</v>
      </c>
      <c r="Z8" s="26" t="s">
        <v>50</v>
      </c>
      <c r="AA8">
        <v>2</v>
      </c>
      <c r="AD8" s="39"/>
      <c r="AE8" s="29" t="s">
        <v>47</v>
      </c>
      <c r="AF8">
        <v>13800</v>
      </c>
      <c r="AG8">
        <v>230</v>
      </c>
    </row>
    <row r="9" spans="1:44" x14ac:dyDescent="0.3">
      <c r="A9" s="4" t="s">
        <v>20</v>
      </c>
      <c r="B9">
        <v>28112</v>
      </c>
      <c r="C9" s="24">
        <v>43385</v>
      </c>
      <c r="D9">
        <v>8020</v>
      </c>
      <c r="E9">
        <v>114</v>
      </c>
      <c r="F9">
        <v>1</v>
      </c>
      <c r="G9">
        <v>50</v>
      </c>
      <c r="H9">
        <v>1250</v>
      </c>
      <c r="I9" s="37" t="str">
        <f>VLOOKUP(A9,MCompany[],2,FALSE)</f>
        <v>Meta Creations</v>
      </c>
      <c r="J9" t="str">
        <f>VLOOKUP(TableTemp2[[#This Row],[Customer Code]],MCustomer[],2,FALSE)</f>
        <v>Erma</v>
      </c>
      <c r="K9" t="str">
        <f>VLOOKUP(TableTemp2[[#This Row],[Article code]],MArticle[],2,FALSE)</f>
        <v>Men dress shirt grey</v>
      </c>
      <c r="L9" t="str">
        <f>VLOOKUP(TableTemp2[[#This Row],[Company]],MCompany[],3,FALSE)</f>
        <v>USD</v>
      </c>
      <c r="M9" s="38">
        <f>IF(TableTemp2[[#This Row],[Currency]]="EUR",ROUND(VLOOKUP(MONTH(TableTemp2[[#This Row],[Document Date]]),MExchange[],2,FALSE)*TableTemp2[[#This Row],[Sales Local Currency]],2),ROUND(TableTemp2[[#This Row],[Sales Local Currency]],2))</f>
        <v>1250</v>
      </c>
      <c r="P9" s="26" t="s">
        <v>33</v>
      </c>
      <c r="Q9" s="28">
        <v>322170</v>
      </c>
      <c r="R9" s="27">
        <v>0.48997003938983774</v>
      </c>
      <c r="S9" s="40"/>
      <c r="U9" s="26" t="s">
        <v>51</v>
      </c>
      <c r="V9">
        <v>2500</v>
      </c>
      <c r="W9">
        <v>100</v>
      </c>
      <c r="Z9" s="26" t="s">
        <v>51</v>
      </c>
      <c r="AA9">
        <v>2</v>
      </c>
      <c r="AD9" s="39"/>
      <c r="AE9" s="29" t="s">
        <v>48</v>
      </c>
      <c r="AF9">
        <v>5600</v>
      </c>
      <c r="AG9">
        <v>280</v>
      </c>
    </row>
    <row r="10" spans="1:44" x14ac:dyDescent="0.3">
      <c r="A10" s="4" t="s">
        <v>20</v>
      </c>
      <c r="B10">
        <v>28112</v>
      </c>
      <c r="C10" s="24">
        <v>43385</v>
      </c>
      <c r="D10">
        <v>8020</v>
      </c>
      <c r="E10">
        <v>101</v>
      </c>
      <c r="F10" t="s">
        <v>89</v>
      </c>
      <c r="G10">
        <v>40</v>
      </c>
      <c r="H10">
        <v>480</v>
      </c>
      <c r="I10" s="37" t="str">
        <f>VLOOKUP(A10,MCompany[],2,FALSE)</f>
        <v>Meta Creations</v>
      </c>
      <c r="J10" t="str">
        <f>VLOOKUP(TableTemp2[[#This Row],[Customer Code]],MCustomer[],2,FALSE)</f>
        <v>Erma</v>
      </c>
      <c r="K10" t="str">
        <f>VLOOKUP(TableTemp2[[#This Row],[Article code]],MArticle[],2,FALSE)</f>
        <v>Men type T simple white</v>
      </c>
      <c r="L10" t="str">
        <f>VLOOKUP(TableTemp2[[#This Row],[Company]],MCompany[],3,FALSE)</f>
        <v>USD</v>
      </c>
      <c r="M10" s="38">
        <f>IF(TableTemp2[[#This Row],[Currency]]="EUR",ROUND(VLOOKUP(MONTH(TableTemp2[[#This Row],[Document Date]]),MExchange[],2,FALSE)*TableTemp2[[#This Row],[Sales Local Currency]],2),ROUND(TableTemp2[[#This Row],[Sales Local Currency]],2))</f>
        <v>480</v>
      </c>
      <c r="P10" s="26" t="s">
        <v>94</v>
      </c>
      <c r="Q10" s="28">
        <v>657530</v>
      </c>
      <c r="R10" s="27">
        <v>1</v>
      </c>
      <c r="S10" s="40"/>
      <c r="U10" s="26" t="s">
        <v>55</v>
      </c>
      <c r="V10">
        <v>7560</v>
      </c>
      <c r="W10">
        <v>420</v>
      </c>
      <c r="Z10" s="26" t="s">
        <v>55</v>
      </c>
      <c r="AD10" s="39"/>
      <c r="AE10" s="29" t="s">
        <v>52</v>
      </c>
      <c r="AF10">
        <v>4860</v>
      </c>
      <c r="AG10">
        <v>810</v>
      </c>
    </row>
    <row r="11" spans="1:44" x14ac:dyDescent="0.3">
      <c r="A11" s="4" t="s">
        <v>20</v>
      </c>
      <c r="B11">
        <v>28112</v>
      </c>
      <c r="C11" s="24">
        <v>43385</v>
      </c>
      <c r="D11">
        <v>8020</v>
      </c>
      <c r="E11">
        <v>102</v>
      </c>
      <c r="G11">
        <v>70</v>
      </c>
      <c r="H11">
        <v>840</v>
      </c>
      <c r="I11" s="37" t="str">
        <f>VLOOKUP(A11,MCompany[],2,FALSE)</f>
        <v>Meta Creations</v>
      </c>
      <c r="J11" t="str">
        <f>VLOOKUP(TableTemp2[[#This Row],[Customer Code]],MCustomer[],2,FALSE)</f>
        <v>Erma</v>
      </c>
      <c r="K11" t="str">
        <f>VLOOKUP(TableTemp2[[#This Row],[Article code]],MArticle[],2,FALSE)</f>
        <v>Men type T simple black</v>
      </c>
      <c r="L11" t="str">
        <f>VLOOKUP(TableTemp2[[#This Row],[Company]],MCompany[],3,FALSE)</f>
        <v>USD</v>
      </c>
      <c r="M11" s="38">
        <f>IF(TableTemp2[[#This Row],[Currency]]="EUR",ROUND(VLOOKUP(MONTH(TableTemp2[[#This Row],[Document Date]]),MExchange[],2,FALSE)*TableTemp2[[#This Row],[Sales Local Currency]],2),ROUND(TableTemp2[[#This Row],[Sales Local Currency]],2))</f>
        <v>840</v>
      </c>
      <c r="S11" s="40"/>
      <c r="U11" s="26" t="s">
        <v>54</v>
      </c>
      <c r="V11">
        <v>5760</v>
      </c>
      <c r="W11">
        <v>320</v>
      </c>
      <c r="Z11" s="26" t="s">
        <v>54</v>
      </c>
      <c r="AA11">
        <v>2</v>
      </c>
      <c r="AD11" s="39"/>
      <c r="AE11" s="29" t="s">
        <v>44</v>
      </c>
      <c r="AF11">
        <v>4800</v>
      </c>
      <c r="AG11">
        <v>960</v>
      </c>
    </row>
    <row r="12" spans="1:44" x14ac:dyDescent="0.3">
      <c r="A12" s="4" t="s">
        <v>20</v>
      </c>
      <c r="B12">
        <v>28112</v>
      </c>
      <c r="C12" s="24">
        <v>43385</v>
      </c>
      <c r="D12">
        <v>8020</v>
      </c>
      <c r="E12">
        <v>106</v>
      </c>
      <c r="G12">
        <v>70</v>
      </c>
      <c r="H12">
        <v>350</v>
      </c>
      <c r="I12" s="37" t="str">
        <f>VLOOKUP(A12,MCompany[],2,FALSE)</f>
        <v>Meta Creations</v>
      </c>
      <c r="J12" t="str">
        <f>VLOOKUP(TableTemp2[[#This Row],[Customer Code]],MCustomer[],2,FALSE)</f>
        <v>Erma</v>
      </c>
      <c r="K12" t="str">
        <f>VLOOKUP(TableTemp2[[#This Row],[Article code]],MArticle[],2,FALSE)</f>
        <v>Men basics</v>
      </c>
      <c r="L12" t="str">
        <f>VLOOKUP(TableTemp2[[#This Row],[Company]],MCompany[],3,FALSE)</f>
        <v>USD</v>
      </c>
      <c r="M12" s="38">
        <f>IF(TableTemp2[[#This Row],[Currency]]="EUR",ROUND(VLOOKUP(MONTH(TableTemp2[[#This Row],[Document Date]]),MExchange[],2,FALSE)*TableTemp2[[#This Row],[Sales Local Currency]],2),ROUND(TableTemp2[[#This Row],[Sales Local Currency]],2))</f>
        <v>350</v>
      </c>
      <c r="U12" s="26" t="s">
        <v>39</v>
      </c>
      <c r="V12">
        <v>2640</v>
      </c>
      <c r="W12">
        <v>220</v>
      </c>
      <c r="Z12" s="26" t="s">
        <v>39</v>
      </c>
      <c r="AD12" s="39"/>
      <c r="AE12" s="29" t="s">
        <v>42</v>
      </c>
      <c r="AF12">
        <v>1200</v>
      </c>
      <c r="AG12">
        <v>120</v>
      </c>
    </row>
    <row r="13" spans="1:44" x14ac:dyDescent="0.3">
      <c r="A13" s="4" t="s">
        <v>20</v>
      </c>
      <c r="B13">
        <v>28112</v>
      </c>
      <c r="C13" s="24">
        <v>43385</v>
      </c>
      <c r="D13">
        <v>8020</v>
      </c>
      <c r="E13">
        <v>108</v>
      </c>
      <c r="G13">
        <v>10</v>
      </c>
      <c r="H13">
        <v>280</v>
      </c>
      <c r="I13" s="37" t="str">
        <f>VLOOKUP(A13,MCompany[],2,FALSE)</f>
        <v>Meta Creations</v>
      </c>
      <c r="J13" t="str">
        <f>VLOOKUP(TableTemp2[[#This Row],[Customer Code]],MCustomer[],2,FALSE)</f>
        <v>Erma</v>
      </c>
      <c r="K13" t="str">
        <f>VLOOKUP(TableTemp2[[#This Row],[Article code]],MArticle[],2,FALSE)</f>
        <v>Laptop bag black</v>
      </c>
      <c r="L13" t="str">
        <f>VLOOKUP(TableTemp2[[#This Row],[Company]],MCompany[],3,FALSE)</f>
        <v>USD</v>
      </c>
      <c r="M13" s="38">
        <f>IF(TableTemp2[[#This Row],[Currency]]="EUR",ROUND(VLOOKUP(MONTH(TableTemp2[[#This Row],[Document Date]]),MExchange[],2,FALSE)*TableTemp2[[#This Row],[Sales Local Currency]],2),ROUND(TableTemp2[[#This Row],[Sales Local Currency]],2))</f>
        <v>280</v>
      </c>
      <c r="U13" s="26" t="s">
        <v>38</v>
      </c>
      <c r="V13">
        <v>7440</v>
      </c>
      <c r="W13">
        <v>620</v>
      </c>
      <c r="Z13" s="26" t="s">
        <v>38</v>
      </c>
      <c r="AA13">
        <v>6</v>
      </c>
      <c r="AD13" s="39"/>
      <c r="AE13" s="29" t="s">
        <v>57</v>
      </c>
      <c r="AF13">
        <v>35960</v>
      </c>
      <c r="AG13">
        <v>620</v>
      </c>
    </row>
    <row r="14" spans="1:44" x14ac:dyDescent="0.3">
      <c r="A14" s="4" t="s">
        <v>20</v>
      </c>
      <c r="B14">
        <v>28112</v>
      </c>
      <c r="C14" s="24">
        <v>43385</v>
      </c>
      <c r="D14">
        <v>8020</v>
      </c>
      <c r="E14">
        <v>117</v>
      </c>
      <c r="G14">
        <v>80</v>
      </c>
      <c r="H14">
        <v>1440</v>
      </c>
      <c r="I14" s="37" t="str">
        <f>VLOOKUP(A14,MCompany[],2,FALSE)</f>
        <v>Meta Creations</v>
      </c>
      <c r="J14" t="str">
        <f>VLOOKUP(TableTemp2[[#This Row],[Customer Code]],MCustomer[],2,FALSE)</f>
        <v>Erma</v>
      </c>
      <c r="K14" t="str">
        <f>VLOOKUP(TableTemp2[[#This Row],[Article code]],MArticle[],2,FALSE)</f>
        <v>Men shorts grey</v>
      </c>
      <c r="L14" t="str">
        <f>VLOOKUP(TableTemp2[[#This Row],[Company]],MCompany[],3,FALSE)</f>
        <v>USD</v>
      </c>
      <c r="M14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  <c r="U14" s="26" t="s">
        <v>47</v>
      </c>
      <c r="V14">
        <v>135600</v>
      </c>
      <c r="W14">
        <v>2260</v>
      </c>
      <c r="Z14" s="26" t="s">
        <v>47</v>
      </c>
      <c r="AA14">
        <v>3</v>
      </c>
      <c r="AD14" s="39"/>
      <c r="AE14" s="29" t="s">
        <v>56</v>
      </c>
      <c r="AF14">
        <v>22320</v>
      </c>
      <c r="AG14">
        <v>360</v>
      </c>
    </row>
    <row r="15" spans="1:44" x14ac:dyDescent="0.3">
      <c r="A15" s="4" t="s">
        <v>20</v>
      </c>
      <c r="B15">
        <v>28112</v>
      </c>
      <c r="C15" s="24">
        <v>43385</v>
      </c>
      <c r="D15">
        <v>8020</v>
      </c>
      <c r="E15">
        <v>118</v>
      </c>
      <c r="G15">
        <v>70</v>
      </c>
      <c r="H15">
        <v>1260</v>
      </c>
      <c r="I15" s="37" t="str">
        <f>VLOOKUP(A15,MCompany[],2,FALSE)</f>
        <v>Meta Creations</v>
      </c>
      <c r="J15" t="str">
        <f>VLOOKUP(TableTemp2[[#This Row],[Customer Code]],MCustomer[],2,FALSE)</f>
        <v>Erma</v>
      </c>
      <c r="K15" t="str">
        <f>VLOOKUP(TableTemp2[[#This Row],[Article code]],MArticle[],2,FALSE)</f>
        <v>Men shorts black</v>
      </c>
      <c r="L15" t="str">
        <f>VLOOKUP(TableTemp2[[#This Row],[Company]],MCompany[],3,FALSE)</f>
        <v>USD</v>
      </c>
      <c r="M15" s="38">
        <f>IF(TableTemp2[[#This Row],[Currency]]="EUR",ROUND(VLOOKUP(MONTH(TableTemp2[[#This Row],[Document Date]]),MExchange[],2,FALSE)*TableTemp2[[#This Row],[Sales Local Currency]],2),ROUND(TableTemp2[[#This Row],[Sales Local Currency]],2))</f>
        <v>1260</v>
      </c>
      <c r="U15" s="26" t="s">
        <v>48</v>
      </c>
      <c r="V15">
        <v>32400</v>
      </c>
      <c r="W15">
        <v>1620</v>
      </c>
      <c r="X15" s="41"/>
      <c r="Z15" s="26" t="s">
        <v>48</v>
      </c>
      <c r="AD15" s="39"/>
      <c r="AE15" s="29" t="s">
        <v>41</v>
      </c>
      <c r="AF15">
        <v>10440</v>
      </c>
      <c r="AG15">
        <v>870</v>
      </c>
    </row>
    <row r="16" spans="1:44" x14ac:dyDescent="0.3">
      <c r="A16" s="4" t="s">
        <v>20</v>
      </c>
      <c r="B16">
        <v>25442</v>
      </c>
      <c r="C16" s="24">
        <v>43389</v>
      </c>
      <c r="D16">
        <v>8010</v>
      </c>
      <c r="E16">
        <v>118</v>
      </c>
      <c r="G16">
        <v>70</v>
      </c>
      <c r="H16">
        <v>1260</v>
      </c>
      <c r="I16" s="37" t="str">
        <f>VLOOKUP(A16,MCompany[],2,FALSE)</f>
        <v>Meta Creations</v>
      </c>
      <c r="J16" t="str">
        <f>VLOOKUP(TableTemp2[[#This Row],[Customer Code]],MCustomer[],2,FALSE)</f>
        <v>Dellicia</v>
      </c>
      <c r="K16" t="str">
        <f>VLOOKUP(TableTemp2[[#This Row],[Article code]],MArticle[],2,FALSE)</f>
        <v>Men shorts black</v>
      </c>
      <c r="L16" t="str">
        <f>VLOOKUP(TableTemp2[[#This Row],[Company]],MCompany[],3,FALSE)</f>
        <v>USD</v>
      </c>
      <c r="M16" s="38">
        <f>IF(TableTemp2[[#This Row],[Currency]]="EUR",ROUND(VLOOKUP(MONTH(TableTemp2[[#This Row],[Document Date]]),MExchange[],2,FALSE)*TableTemp2[[#This Row],[Sales Local Currency]],2),ROUND(TableTemp2[[#This Row],[Sales Local Currency]],2))</f>
        <v>1260</v>
      </c>
      <c r="U16" s="26" t="s">
        <v>52</v>
      </c>
      <c r="V16">
        <v>7200</v>
      </c>
      <c r="W16">
        <v>1200</v>
      </c>
      <c r="Z16" s="26" t="s">
        <v>52</v>
      </c>
      <c r="AD16" s="39"/>
      <c r="AE16" s="29" t="s">
        <v>40</v>
      </c>
      <c r="AF16">
        <v>7560</v>
      </c>
      <c r="AG16">
        <v>630</v>
      </c>
    </row>
    <row r="17" spans="1:33" x14ac:dyDescent="0.3">
      <c r="A17" s="4" t="s">
        <v>20</v>
      </c>
      <c r="B17">
        <v>25442</v>
      </c>
      <c r="C17" s="24">
        <v>43389</v>
      </c>
      <c r="D17">
        <v>8010</v>
      </c>
      <c r="E17">
        <v>117</v>
      </c>
      <c r="F17">
        <v>6</v>
      </c>
      <c r="G17">
        <v>80</v>
      </c>
      <c r="H17">
        <v>1440</v>
      </c>
      <c r="I17" s="37" t="str">
        <f>VLOOKUP(A17,MCompany[],2,FALSE)</f>
        <v>Meta Creations</v>
      </c>
      <c r="J17" t="str">
        <f>VLOOKUP(TableTemp2[[#This Row],[Customer Code]],MCustomer[],2,FALSE)</f>
        <v>Dellicia</v>
      </c>
      <c r="K17" t="str">
        <f>VLOOKUP(TableTemp2[[#This Row],[Article code]],MArticle[],2,FALSE)</f>
        <v>Men shorts grey</v>
      </c>
      <c r="L17" t="str">
        <f>VLOOKUP(TableTemp2[[#This Row],[Company]],MCompany[],3,FALSE)</f>
        <v>USD</v>
      </c>
      <c r="M17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  <c r="U17" s="26" t="s">
        <v>53</v>
      </c>
      <c r="V17">
        <v>6840</v>
      </c>
      <c r="W17">
        <v>1140</v>
      </c>
      <c r="Z17" s="26" t="s">
        <v>53</v>
      </c>
      <c r="AA17">
        <v>3</v>
      </c>
      <c r="AD17" s="39"/>
      <c r="AE17" s="26" t="s">
        <v>30</v>
      </c>
      <c r="AF17">
        <v>47520</v>
      </c>
      <c r="AG17">
        <v>3970</v>
      </c>
    </row>
    <row r="18" spans="1:33" x14ac:dyDescent="0.3">
      <c r="A18" s="4" t="s">
        <v>20</v>
      </c>
      <c r="B18">
        <v>25442</v>
      </c>
      <c r="C18" s="24">
        <v>43389</v>
      </c>
      <c r="D18">
        <v>8010</v>
      </c>
      <c r="E18">
        <v>118</v>
      </c>
      <c r="G18">
        <v>70</v>
      </c>
      <c r="H18">
        <v>1260</v>
      </c>
      <c r="I18" s="37" t="str">
        <f>VLOOKUP(A18,MCompany[],2,FALSE)</f>
        <v>Meta Creations</v>
      </c>
      <c r="J18" t="str">
        <f>VLOOKUP(TableTemp2[[#This Row],[Customer Code]],MCustomer[],2,FALSE)</f>
        <v>Dellicia</v>
      </c>
      <c r="K18" t="str">
        <f>VLOOKUP(TableTemp2[[#This Row],[Article code]],MArticle[],2,FALSE)</f>
        <v>Men shorts black</v>
      </c>
      <c r="L18" t="str">
        <f>VLOOKUP(TableTemp2[[#This Row],[Company]],MCompany[],3,FALSE)</f>
        <v>USD</v>
      </c>
      <c r="M18" s="38">
        <f>IF(TableTemp2[[#This Row],[Currency]]="EUR",ROUND(VLOOKUP(MONTH(TableTemp2[[#This Row],[Document Date]]),MExchange[],2,FALSE)*TableTemp2[[#This Row],[Sales Local Currency]],2),ROUND(TableTemp2[[#This Row],[Sales Local Currency]],2))</f>
        <v>1260</v>
      </c>
      <c r="U18" s="26" t="s">
        <v>44</v>
      </c>
      <c r="V18">
        <v>17950</v>
      </c>
      <c r="W18">
        <v>3590</v>
      </c>
      <c r="Z18" s="26" t="s">
        <v>44</v>
      </c>
      <c r="AA18">
        <v>3</v>
      </c>
      <c r="AD18" s="39"/>
      <c r="AE18" s="29" t="s">
        <v>43</v>
      </c>
      <c r="AF18">
        <v>200</v>
      </c>
      <c r="AG18">
        <v>40</v>
      </c>
    </row>
    <row r="19" spans="1:33" x14ac:dyDescent="0.3">
      <c r="A19" s="4" t="s">
        <v>20</v>
      </c>
      <c r="B19">
        <v>25442</v>
      </c>
      <c r="C19" s="24">
        <v>43389</v>
      </c>
      <c r="D19">
        <v>8010</v>
      </c>
      <c r="E19">
        <v>116</v>
      </c>
      <c r="F19">
        <v>1</v>
      </c>
      <c r="G19">
        <v>60</v>
      </c>
      <c r="H19">
        <v>360</v>
      </c>
      <c r="I19" s="37" t="str">
        <f>VLOOKUP(A19,MCompany[],2,FALSE)</f>
        <v>Meta Creations</v>
      </c>
      <c r="J19" t="str">
        <f>VLOOKUP(TableTemp2[[#This Row],[Customer Code]],MCustomer[],2,FALSE)</f>
        <v>Dellicia</v>
      </c>
      <c r="K19" t="str">
        <f>VLOOKUP(TableTemp2[[#This Row],[Article code]],MArticle[],2,FALSE)</f>
        <v>Unisex tank top white</v>
      </c>
      <c r="L19" t="str">
        <f>VLOOKUP(TableTemp2[[#This Row],[Company]],MCompany[],3,FALSE)</f>
        <v>USD</v>
      </c>
      <c r="M19" s="38">
        <f>IF(TableTemp2[[#This Row],[Currency]]="EUR",ROUND(VLOOKUP(MONTH(TableTemp2[[#This Row],[Document Date]]),MExchange[],2,FALSE)*TableTemp2[[#This Row],[Sales Local Currency]],2),ROUND(TableTemp2[[#This Row],[Sales Local Currency]],2))</f>
        <v>360</v>
      </c>
      <c r="U19" s="26" t="s">
        <v>42</v>
      </c>
      <c r="V19">
        <v>21500</v>
      </c>
      <c r="W19">
        <v>2150</v>
      </c>
      <c r="Z19" s="26" t="s">
        <v>42</v>
      </c>
      <c r="AA19">
        <v>3</v>
      </c>
      <c r="AD19" s="39"/>
      <c r="AE19" s="29" t="s">
        <v>55</v>
      </c>
      <c r="AF19">
        <v>5040</v>
      </c>
      <c r="AG19">
        <v>280</v>
      </c>
    </row>
    <row r="20" spans="1:33" x14ac:dyDescent="0.3">
      <c r="A20" s="4" t="s">
        <v>20</v>
      </c>
      <c r="B20">
        <v>25442</v>
      </c>
      <c r="C20" s="24">
        <v>43389</v>
      </c>
      <c r="D20">
        <v>8010</v>
      </c>
      <c r="E20">
        <v>106</v>
      </c>
      <c r="G20">
        <v>20</v>
      </c>
      <c r="H20">
        <v>100</v>
      </c>
      <c r="I20" s="37" t="str">
        <f>VLOOKUP(A20,MCompany[],2,FALSE)</f>
        <v>Meta Creations</v>
      </c>
      <c r="J20" t="str">
        <f>VLOOKUP(TableTemp2[[#This Row],[Customer Code]],MCustomer[],2,FALSE)</f>
        <v>Dellicia</v>
      </c>
      <c r="K20" t="str">
        <f>VLOOKUP(TableTemp2[[#This Row],[Article code]],MArticle[],2,FALSE)</f>
        <v>Men basics</v>
      </c>
      <c r="L20" t="str">
        <f>VLOOKUP(TableTemp2[[#This Row],[Company]],MCompany[],3,FALSE)</f>
        <v>USD</v>
      </c>
      <c r="M20" s="38">
        <f>IF(TableTemp2[[#This Row],[Currency]]="EUR",ROUND(VLOOKUP(MONTH(TableTemp2[[#This Row],[Document Date]]),MExchange[],2,FALSE)*TableTemp2[[#This Row],[Sales Local Currency]],2),ROUND(TableTemp2[[#This Row],[Sales Local Currency]],2))</f>
        <v>100</v>
      </c>
      <c r="U20" s="26" t="s">
        <v>57</v>
      </c>
      <c r="V20">
        <v>89320</v>
      </c>
      <c r="W20">
        <v>1540</v>
      </c>
      <c r="Z20" s="26" t="s">
        <v>57</v>
      </c>
      <c r="AA20">
        <v>1</v>
      </c>
      <c r="AD20" s="39"/>
      <c r="AE20" s="29" t="s">
        <v>54</v>
      </c>
      <c r="AF20">
        <v>2880</v>
      </c>
      <c r="AG20">
        <v>160</v>
      </c>
    </row>
    <row r="21" spans="1:33" x14ac:dyDescent="0.3">
      <c r="A21" s="4" t="s">
        <v>20</v>
      </c>
      <c r="B21">
        <v>25442</v>
      </c>
      <c r="C21" s="24">
        <v>43389</v>
      </c>
      <c r="D21">
        <v>8010</v>
      </c>
      <c r="E21">
        <v>101</v>
      </c>
      <c r="G21">
        <v>40</v>
      </c>
      <c r="H21">
        <v>480</v>
      </c>
      <c r="I21" s="37" t="str">
        <f>VLOOKUP(A21,MCompany[],2,FALSE)</f>
        <v>Meta Creations</v>
      </c>
      <c r="J21" t="str">
        <f>VLOOKUP(TableTemp2[[#This Row],[Customer Code]],MCustomer[],2,FALSE)</f>
        <v>Dellicia</v>
      </c>
      <c r="K21" t="str">
        <f>VLOOKUP(TableTemp2[[#This Row],[Article code]],MArticle[],2,FALSE)</f>
        <v>Men type T simple white</v>
      </c>
      <c r="L21" t="str">
        <f>VLOOKUP(TableTemp2[[#This Row],[Company]],MCompany[],3,FALSE)</f>
        <v>USD</v>
      </c>
      <c r="M21" s="38">
        <f>IF(TableTemp2[[#This Row],[Currency]]="EUR",ROUND(VLOOKUP(MONTH(TableTemp2[[#This Row],[Document Date]]),MExchange[],2,FALSE)*TableTemp2[[#This Row],[Sales Local Currency]],2),ROUND(TableTemp2[[#This Row],[Sales Local Currency]],2))</f>
        <v>480</v>
      </c>
      <c r="U21" s="26" t="s">
        <v>56</v>
      </c>
      <c r="V21">
        <v>135160</v>
      </c>
      <c r="W21">
        <v>2180</v>
      </c>
      <c r="Z21" s="26" t="s">
        <v>56</v>
      </c>
      <c r="AA21">
        <v>2</v>
      </c>
      <c r="AD21" s="39"/>
      <c r="AE21" s="29" t="s">
        <v>39</v>
      </c>
      <c r="AF21">
        <v>240</v>
      </c>
      <c r="AG21">
        <v>20</v>
      </c>
    </row>
    <row r="22" spans="1:33" x14ac:dyDescent="0.3">
      <c r="A22" s="4" t="s">
        <v>20</v>
      </c>
      <c r="B22">
        <v>25442</v>
      </c>
      <c r="C22" s="24">
        <v>43389</v>
      </c>
      <c r="D22">
        <v>8010</v>
      </c>
      <c r="E22">
        <v>102</v>
      </c>
      <c r="G22">
        <v>10</v>
      </c>
      <c r="H22">
        <v>120</v>
      </c>
      <c r="I22" s="37" t="str">
        <f>VLOOKUP(A22,MCompany[],2,FALSE)</f>
        <v>Meta Creations</v>
      </c>
      <c r="J22" t="str">
        <f>VLOOKUP(TableTemp2[[#This Row],[Customer Code]],MCustomer[],2,FALSE)</f>
        <v>Dellicia</v>
      </c>
      <c r="K22" t="str">
        <f>VLOOKUP(TableTemp2[[#This Row],[Article code]],MArticle[],2,FALSE)</f>
        <v>Men type T simple black</v>
      </c>
      <c r="L22" t="str">
        <f>VLOOKUP(TableTemp2[[#This Row],[Company]],MCompany[],3,FALSE)</f>
        <v>USD</v>
      </c>
      <c r="M22" s="38">
        <f>IF(TableTemp2[[#This Row],[Currency]]="EUR",ROUND(VLOOKUP(MONTH(TableTemp2[[#This Row],[Document Date]]),MExchange[],2,FALSE)*TableTemp2[[#This Row],[Sales Local Currency]],2),ROUND(TableTemp2[[#This Row],[Sales Local Currency]],2))</f>
        <v>120</v>
      </c>
      <c r="U22" s="26" t="s">
        <v>41</v>
      </c>
      <c r="V22">
        <v>48840</v>
      </c>
      <c r="W22">
        <v>4070</v>
      </c>
      <c r="Z22" s="26" t="s">
        <v>41</v>
      </c>
      <c r="AA22">
        <v>4</v>
      </c>
      <c r="AD22" s="39"/>
      <c r="AE22" s="29" t="s">
        <v>38</v>
      </c>
      <c r="AF22">
        <v>960</v>
      </c>
      <c r="AG22">
        <v>80</v>
      </c>
    </row>
    <row r="23" spans="1:33" x14ac:dyDescent="0.3">
      <c r="A23" s="4" t="s">
        <v>23</v>
      </c>
      <c r="B23">
        <v>84030</v>
      </c>
      <c r="C23" s="24">
        <v>43380</v>
      </c>
      <c r="D23">
        <v>8050</v>
      </c>
      <c r="E23">
        <v>120</v>
      </c>
      <c r="F23" t="s">
        <v>89</v>
      </c>
      <c r="G23">
        <v>120</v>
      </c>
      <c r="H23">
        <v>6960</v>
      </c>
      <c r="I23" s="37" t="str">
        <f>VLOOKUP(A23,MCompany[],2,FALSE)</f>
        <v>Bere Kleid</v>
      </c>
      <c r="J23" t="str">
        <f>VLOOKUP(TableTemp2[[#This Row],[Customer Code]],MCustomer[],2,FALSE)</f>
        <v>Aida GmbH</v>
      </c>
      <c r="K23" t="str">
        <f>VLOOKUP(TableTemp2[[#This Row],[Article code]],MArticle[],2,FALSE)</f>
        <v>Women evening dress Cocktail red</v>
      </c>
      <c r="L23" t="str">
        <f>VLOOKUP(TableTemp2[[#This Row],[Company]],MCompany[],3,FALSE)</f>
        <v>EUR</v>
      </c>
      <c r="M23" s="38">
        <f>IF(TableTemp2[[#This Row],[Currency]]="EUR",ROUND(VLOOKUP(MONTH(TableTemp2[[#This Row],[Document Date]]),MExchange[],2,FALSE)*TableTemp2[[#This Row],[Sales Local Currency]],2),ROUND(TableTemp2[[#This Row],[Sales Local Currency]],2))</f>
        <v>8177.58</v>
      </c>
      <c r="U23" s="26" t="s">
        <v>40</v>
      </c>
      <c r="V23">
        <v>29520</v>
      </c>
      <c r="W23">
        <v>2460</v>
      </c>
      <c r="Z23" s="26" t="s">
        <v>40</v>
      </c>
      <c r="AA23">
        <v>2</v>
      </c>
      <c r="AD23" s="39"/>
      <c r="AE23" s="29" t="s">
        <v>53</v>
      </c>
      <c r="AF23">
        <v>720</v>
      </c>
      <c r="AG23">
        <v>120</v>
      </c>
    </row>
    <row r="24" spans="1:33" x14ac:dyDescent="0.3">
      <c r="A24" s="4" t="s">
        <v>23</v>
      </c>
      <c r="B24">
        <v>84030</v>
      </c>
      <c r="C24" s="24">
        <v>43380</v>
      </c>
      <c r="D24">
        <v>8050</v>
      </c>
      <c r="E24">
        <v>104</v>
      </c>
      <c r="F24">
        <v>1</v>
      </c>
      <c r="G24">
        <v>430</v>
      </c>
      <c r="H24">
        <v>5160</v>
      </c>
      <c r="I24" s="37" t="str">
        <f>VLOOKUP(A24,MCompany[],2,FALSE)</f>
        <v>Bere Kleid</v>
      </c>
      <c r="J24" t="str">
        <f>VLOOKUP(TableTemp2[[#This Row],[Customer Code]],MCustomer[],2,FALSE)</f>
        <v>Aida GmbH</v>
      </c>
      <c r="K24" t="str">
        <f>VLOOKUP(TableTemp2[[#This Row],[Article code]],MArticle[],2,FALSE)</f>
        <v>Women type T simple black</v>
      </c>
      <c r="L24" t="str">
        <f>VLOOKUP(TableTemp2[[#This Row],[Company]],MCompany[],3,FALSE)</f>
        <v>EUR</v>
      </c>
      <c r="M24" s="38">
        <f>IF(TableTemp2[[#This Row],[Currency]]="EUR",ROUND(VLOOKUP(MONTH(TableTemp2[[#This Row],[Document Date]]),MExchange[],2,FALSE)*TableTemp2[[#This Row],[Sales Local Currency]],2),ROUND(TableTemp2[[#This Row],[Sales Local Currency]],2))</f>
        <v>6062.69</v>
      </c>
      <c r="U24" s="26" t="s">
        <v>94</v>
      </c>
      <c r="V24">
        <v>657530</v>
      </c>
      <c r="W24">
        <v>27990</v>
      </c>
      <c r="Z24" s="26" t="s">
        <v>94</v>
      </c>
      <c r="AA24">
        <v>46</v>
      </c>
      <c r="AD24" s="39"/>
      <c r="AE24" s="29" t="s">
        <v>42</v>
      </c>
      <c r="AF24">
        <v>8800</v>
      </c>
      <c r="AG24">
        <v>880</v>
      </c>
    </row>
    <row r="25" spans="1:33" x14ac:dyDescent="0.3">
      <c r="A25" s="4" t="s">
        <v>23</v>
      </c>
      <c r="B25">
        <v>84030</v>
      </c>
      <c r="C25" s="24">
        <v>43380</v>
      </c>
      <c r="D25">
        <v>8050</v>
      </c>
      <c r="E25">
        <v>105</v>
      </c>
      <c r="F25" t="s">
        <v>89</v>
      </c>
      <c r="G25">
        <v>120</v>
      </c>
      <c r="H25">
        <v>1200</v>
      </c>
      <c r="I25" s="37" t="str">
        <f>VLOOKUP(A25,MCompany[],2,FALSE)</f>
        <v>Bere Kleid</v>
      </c>
      <c r="J25" t="str">
        <f>VLOOKUP(TableTemp2[[#This Row],[Customer Code]],MCustomer[],2,FALSE)</f>
        <v>Aida GmbH</v>
      </c>
      <c r="K25" t="str">
        <f>VLOOKUP(TableTemp2[[#This Row],[Article code]],MArticle[],2,FALSE)</f>
        <v>Women crop top black</v>
      </c>
      <c r="L25" t="str">
        <f>VLOOKUP(TableTemp2[[#This Row],[Company]],MCompany[],3,FALSE)</f>
        <v>EUR</v>
      </c>
      <c r="M25" s="38">
        <f>IF(TableTemp2[[#This Row],[Currency]]="EUR",ROUND(VLOOKUP(MONTH(TableTemp2[[#This Row],[Document Date]]),MExchange[],2,FALSE)*TableTemp2[[#This Row],[Sales Local Currency]],2),ROUND(TableTemp2[[#This Row],[Sales Local Currency]],2))</f>
        <v>1409.93</v>
      </c>
      <c r="AD25" s="39"/>
      <c r="AE25" s="29" t="s">
        <v>41</v>
      </c>
      <c r="AF25">
        <v>18120</v>
      </c>
      <c r="AG25">
        <v>1510</v>
      </c>
    </row>
    <row r="26" spans="1:33" x14ac:dyDescent="0.3">
      <c r="A26" s="4" t="s">
        <v>23</v>
      </c>
      <c r="B26">
        <v>84030</v>
      </c>
      <c r="C26" s="24">
        <v>43380</v>
      </c>
      <c r="D26">
        <v>8050</v>
      </c>
      <c r="E26">
        <v>107</v>
      </c>
      <c r="F26">
        <v>1</v>
      </c>
      <c r="G26">
        <v>690</v>
      </c>
      <c r="H26">
        <v>3450</v>
      </c>
      <c r="I26" s="37" t="str">
        <f>VLOOKUP(A26,MCompany[],2,FALSE)</f>
        <v>Bere Kleid</v>
      </c>
      <c r="J26" t="str">
        <f>VLOOKUP(TableTemp2[[#This Row],[Customer Code]],MCustomer[],2,FALSE)</f>
        <v>Aida GmbH</v>
      </c>
      <c r="K26" t="str">
        <f>VLOOKUP(TableTemp2[[#This Row],[Article code]],MArticle[],2,FALSE)</f>
        <v>Women basics</v>
      </c>
      <c r="L26" t="str">
        <f>VLOOKUP(TableTemp2[[#This Row],[Company]],MCompany[],3,FALSE)</f>
        <v>EUR</v>
      </c>
      <c r="M26" s="38">
        <f>IF(TableTemp2[[#This Row],[Currency]]="EUR",ROUND(VLOOKUP(MONTH(TableTemp2[[#This Row],[Document Date]]),MExchange[],2,FALSE)*TableTemp2[[#This Row],[Sales Local Currency]],2),ROUND(TableTemp2[[#This Row],[Sales Local Currency]],2))</f>
        <v>4053.54</v>
      </c>
      <c r="AD26" s="39"/>
      <c r="AE26" s="29" t="s">
        <v>40</v>
      </c>
      <c r="AF26">
        <v>10560</v>
      </c>
      <c r="AG26">
        <v>880</v>
      </c>
    </row>
    <row r="27" spans="1:33" x14ac:dyDescent="0.3">
      <c r="A27" s="4" t="s">
        <v>23</v>
      </c>
      <c r="B27">
        <v>84031</v>
      </c>
      <c r="C27" s="24">
        <v>43381</v>
      </c>
      <c r="D27">
        <v>8040</v>
      </c>
      <c r="E27">
        <v>104</v>
      </c>
      <c r="F27" t="s">
        <v>89</v>
      </c>
      <c r="G27">
        <v>870</v>
      </c>
      <c r="H27">
        <v>10440</v>
      </c>
      <c r="I27" s="37" t="str">
        <f>VLOOKUP(A27,MCompany[],2,FALSE)</f>
        <v>Bere Kleid</v>
      </c>
      <c r="J27" t="str">
        <f>VLOOKUP(TableTemp2[[#This Row],[Customer Code]],MCustomer[],2,FALSE)</f>
        <v>Werner Strauss</v>
      </c>
      <c r="K27" t="str">
        <f>VLOOKUP(TableTemp2[[#This Row],[Article code]],MArticle[],2,FALSE)</f>
        <v>Women type T simple black</v>
      </c>
      <c r="L27" t="str">
        <f>VLOOKUP(TableTemp2[[#This Row],[Company]],MCompany[],3,FALSE)</f>
        <v>EUR</v>
      </c>
      <c r="M27" s="38">
        <f>IF(TableTemp2[[#This Row],[Currency]]="EUR",ROUND(VLOOKUP(MONTH(TableTemp2[[#This Row],[Document Date]]),MExchange[],2,FALSE)*TableTemp2[[#This Row],[Sales Local Currency]],2),ROUND(TableTemp2[[#This Row],[Sales Local Currency]],2))</f>
        <v>12266.36</v>
      </c>
      <c r="AD27" s="39"/>
      <c r="AE27" s="26" t="s">
        <v>32</v>
      </c>
      <c r="AF27">
        <v>31360</v>
      </c>
      <c r="AG27">
        <v>1910</v>
      </c>
    </row>
    <row r="28" spans="1:33" x14ac:dyDescent="0.3">
      <c r="A28" s="4" t="s">
        <v>23</v>
      </c>
      <c r="B28">
        <v>84031</v>
      </c>
      <c r="C28" s="24">
        <v>43381</v>
      </c>
      <c r="D28">
        <v>8040</v>
      </c>
      <c r="E28">
        <v>107</v>
      </c>
      <c r="F28" t="s">
        <v>89</v>
      </c>
      <c r="G28">
        <v>760</v>
      </c>
      <c r="H28">
        <v>3800</v>
      </c>
      <c r="I28" s="37" t="str">
        <f>VLOOKUP(A28,MCompany[],2,FALSE)</f>
        <v>Bere Kleid</v>
      </c>
      <c r="J28" t="str">
        <f>VLOOKUP(TableTemp2[[#This Row],[Customer Code]],MCustomer[],2,FALSE)</f>
        <v>Werner Strauss</v>
      </c>
      <c r="K28" t="str">
        <f>VLOOKUP(TableTemp2[[#This Row],[Article code]],MArticle[],2,FALSE)</f>
        <v>Women basics</v>
      </c>
      <c r="L28" t="str">
        <f>VLOOKUP(TableTemp2[[#This Row],[Company]],MCompany[],3,FALSE)</f>
        <v>EUR</v>
      </c>
      <c r="M28" s="38">
        <f>IF(TableTemp2[[#This Row],[Currency]]="EUR",ROUND(VLOOKUP(MONTH(TableTemp2[[#This Row],[Document Date]]),MExchange[],2,FALSE)*TableTemp2[[#This Row],[Sales Local Currency]],2),ROUND(TableTemp2[[#This Row],[Sales Local Currency]],2))</f>
        <v>4464.7700000000004</v>
      </c>
      <c r="AD28" s="39"/>
      <c r="AE28" s="29" t="s">
        <v>52</v>
      </c>
      <c r="AF28">
        <v>2340</v>
      </c>
      <c r="AG28">
        <v>390</v>
      </c>
    </row>
    <row r="29" spans="1:33" x14ac:dyDescent="0.3">
      <c r="A29" s="4" t="s">
        <v>23</v>
      </c>
      <c r="B29">
        <v>84031</v>
      </c>
      <c r="C29" s="24">
        <v>43381</v>
      </c>
      <c r="D29">
        <v>8040</v>
      </c>
      <c r="E29">
        <v>110</v>
      </c>
      <c r="F29">
        <v>2</v>
      </c>
      <c r="G29">
        <v>500</v>
      </c>
      <c r="H29">
        <v>30000</v>
      </c>
      <c r="I29" s="37" t="str">
        <f>VLOOKUP(A29,MCompany[],2,FALSE)</f>
        <v>Bere Kleid</v>
      </c>
      <c r="J29" t="str">
        <f>VLOOKUP(TableTemp2[[#This Row],[Customer Code]],MCustomer[],2,FALSE)</f>
        <v>Werner Strauss</v>
      </c>
      <c r="K29" t="str">
        <f>VLOOKUP(TableTemp2[[#This Row],[Article code]],MArticle[],2,FALSE)</f>
        <v>Smartphone case diamond</v>
      </c>
      <c r="L29" t="str">
        <f>VLOOKUP(TableTemp2[[#This Row],[Company]],MCompany[],3,FALSE)</f>
        <v>EUR</v>
      </c>
      <c r="M29" s="38">
        <f>IF(TableTemp2[[#This Row],[Currency]]="EUR",ROUND(VLOOKUP(MONTH(TableTemp2[[#This Row],[Document Date]]),MExchange[],2,FALSE)*TableTemp2[[#This Row],[Sales Local Currency]],2),ROUND(TableTemp2[[#This Row],[Sales Local Currency]],2))</f>
        <v>35248.17</v>
      </c>
      <c r="AD29" s="39"/>
      <c r="AE29" s="29" t="s">
        <v>53</v>
      </c>
      <c r="AF29">
        <v>1560</v>
      </c>
      <c r="AG29">
        <v>260</v>
      </c>
    </row>
    <row r="30" spans="1:33" x14ac:dyDescent="0.3">
      <c r="A30" s="4" t="s">
        <v>23</v>
      </c>
      <c r="B30">
        <v>88112</v>
      </c>
      <c r="C30" s="24">
        <v>43384</v>
      </c>
      <c r="D30">
        <v>8040</v>
      </c>
      <c r="E30">
        <v>110</v>
      </c>
      <c r="G30">
        <v>480</v>
      </c>
      <c r="H30">
        <v>28800</v>
      </c>
      <c r="I30" s="37" t="str">
        <f>VLOOKUP(A30,MCompany[],2,FALSE)</f>
        <v>Bere Kleid</v>
      </c>
      <c r="J30" t="str">
        <f>VLOOKUP(TableTemp2[[#This Row],[Customer Code]],MCustomer[],2,FALSE)</f>
        <v>Werner Strauss</v>
      </c>
      <c r="K30" t="str">
        <f>VLOOKUP(TableTemp2[[#This Row],[Article code]],MArticle[],2,FALSE)</f>
        <v>Smartphone case diamond</v>
      </c>
      <c r="L30" t="str">
        <f>VLOOKUP(TableTemp2[[#This Row],[Company]],MCompany[],3,FALSE)</f>
        <v>EUR</v>
      </c>
      <c r="M30" s="38">
        <f>IF(TableTemp2[[#This Row],[Currency]]="EUR",ROUND(VLOOKUP(MONTH(TableTemp2[[#This Row],[Document Date]]),MExchange[],2,FALSE)*TableTemp2[[#This Row],[Sales Local Currency]],2),ROUND(TableTemp2[[#This Row],[Sales Local Currency]],2))</f>
        <v>33838.239999999998</v>
      </c>
      <c r="S30" s="40"/>
      <c r="AD30" s="39"/>
      <c r="AE30" s="29" t="s">
        <v>44</v>
      </c>
      <c r="AF30">
        <v>2300</v>
      </c>
      <c r="AG30">
        <v>460</v>
      </c>
    </row>
    <row r="31" spans="1:33" x14ac:dyDescent="0.3">
      <c r="A31" s="4" t="s">
        <v>23</v>
      </c>
      <c r="B31">
        <v>88112</v>
      </c>
      <c r="C31" s="24">
        <v>43384</v>
      </c>
      <c r="D31">
        <v>8040</v>
      </c>
      <c r="E31">
        <v>119</v>
      </c>
      <c r="F31" t="s">
        <v>89</v>
      </c>
      <c r="G31">
        <v>630</v>
      </c>
      <c r="H31">
        <v>39060</v>
      </c>
      <c r="I31" s="37" t="str">
        <f>VLOOKUP(A31,MCompany[],2,FALSE)</f>
        <v>Bere Kleid</v>
      </c>
      <c r="J31" t="str">
        <f>VLOOKUP(TableTemp2[[#This Row],[Customer Code]],MCustomer[],2,FALSE)</f>
        <v>Werner Strauss</v>
      </c>
      <c r="K31" t="str">
        <f>VLOOKUP(TableTemp2[[#This Row],[Article code]],MArticle[],2,FALSE)</f>
        <v>Women evening dress long black</v>
      </c>
      <c r="L31" t="str">
        <f>VLOOKUP(TableTemp2[[#This Row],[Company]],MCompany[],3,FALSE)</f>
        <v>EUR</v>
      </c>
      <c r="M31" s="38">
        <f>IF(TableTemp2[[#This Row],[Currency]]="EUR",ROUND(VLOOKUP(MONTH(TableTemp2[[#This Row],[Document Date]]),MExchange[],2,FALSE)*TableTemp2[[#This Row],[Sales Local Currency]],2),ROUND(TableTemp2[[#This Row],[Sales Local Currency]],2))</f>
        <v>45893.120000000003</v>
      </c>
      <c r="S31" s="40"/>
      <c r="AD31" s="39"/>
      <c r="AE31" s="29" t="s">
        <v>42</v>
      </c>
      <c r="AF31">
        <v>4700</v>
      </c>
      <c r="AG31">
        <v>470</v>
      </c>
    </row>
    <row r="32" spans="1:33" x14ac:dyDescent="0.3">
      <c r="A32" s="4" t="s">
        <v>23</v>
      </c>
      <c r="B32">
        <v>88112</v>
      </c>
      <c r="C32" s="24">
        <v>43384</v>
      </c>
      <c r="D32">
        <v>8040</v>
      </c>
      <c r="E32">
        <v>120</v>
      </c>
      <c r="G32">
        <v>150</v>
      </c>
      <c r="H32">
        <v>8700</v>
      </c>
      <c r="I32" s="37" t="str">
        <f>VLOOKUP(A32,MCompany[],2,FALSE)</f>
        <v>Bere Kleid</v>
      </c>
      <c r="J32" t="str">
        <f>VLOOKUP(TableTemp2[[#This Row],[Customer Code]],MCustomer[],2,FALSE)</f>
        <v>Werner Strauss</v>
      </c>
      <c r="K32" t="str">
        <f>VLOOKUP(TableTemp2[[#This Row],[Article code]],MArticle[],2,FALSE)</f>
        <v>Women evening dress Cocktail red</v>
      </c>
      <c r="L32" t="str">
        <f>VLOOKUP(TableTemp2[[#This Row],[Company]],MCompany[],3,FALSE)</f>
        <v>EUR</v>
      </c>
      <c r="M32" s="38">
        <f>IF(TableTemp2[[#This Row],[Currency]]="EUR",ROUND(VLOOKUP(MONTH(TableTemp2[[#This Row],[Document Date]]),MExchange[],2,FALSE)*TableTemp2[[#This Row],[Sales Local Currency]],2),ROUND(TableTemp2[[#This Row],[Sales Local Currency]],2))</f>
        <v>10221.969999999999</v>
      </c>
      <c r="S32" s="40"/>
      <c r="AD32" s="39"/>
      <c r="AE32" s="29" t="s">
        <v>56</v>
      </c>
      <c r="AF32">
        <v>20460</v>
      </c>
      <c r="AG32">
        <v>330</v>
      </c>
    </row>
    <row r="33" spans="1:33" x14ac:dyDescent="0.3">
      <c r="A33" s="4" t="s">
        <v>23</v>
      </c>
      <c r="B33">
        <v>88112</v>
      </c>
      <c r="C33" s="24">
        <v>43384</v>
      </c>
      <c r="D33">
        <v>8040</v>
      </c>
      <c r="E33">
        <v>116</v>
      </c>
      <c r="F33">
        <v>4</v>
      </c>
      <c r="G33">
        <v>760</v>
      </c>
      <c r="H33">
        <v>4560</v>
      </c>
      <c r="I33" s="37" t="str">
        <f>VLOOKUP(A33,MCompany[],2,FALSE)</f>
        <v>Bere Kleid</v>
      </c>
      <c r="J33" t="str">
        <f>VLOOKUP(TableTemp2[[#This Row],[Customer Code]],MCustomer[],2,FALSE)</f>
        <v>Werner Strauss</v>
      </c>
      <c r="K33" t="str">
        <f>VLOOKUP(TableTemp2[[#This Row],[Article code]],MArticle[],2,FALSE)</f>
        <v>Unisex tank top white</v>
      </c>
      <c r="L33" t="str">
        <f>VLOOKUP(TableTemp2[[#This Row],[Company]],MCompany[],3,FALSE)</f>
        <v>EUR</v>
      </c>
      <c r="M33" s="38">
        <f>IF(TableTemp2[[#This Row],[Currency]]="EUR",ROUND(VLOOKUP(MONTH(TableTemp2[[#This Row],[Document Date]]),MExchange[],2,FALSE)*TableTemp2[[#This Row],[Sales Local Currency]],2),ROUND(TableTemp2[[#This Row],[Sales Local Currency]],2))</f>
        <v>5357.72</v>
      </c>
      <c r="S33" s="40"/>
      <c r="AD33" s="39"/>
      <c r="AE33" s="26" t="s">
        <v>31</v>
      </c>
      <c r="AF33">
        <v>57860</v>
      </c>
      <c r="AG33">
        <v>4670</v>
      </c>
    </row>
    <row r="34" spans="1:33" x14ac:dyDescent="0.3">
      <c r="A34" s="4" t="s">
        <v>23</v>
      </c>
      <c r="B34">
        <v>88112</v>
      </c>
      <c r="C34" s="24">
        <v>43384</v>
      </c>
      <c r="D34">
        <v>8040</v>
      </c>
      <c r="E34">
        <v>111</v>
      </c>
      <c r="G34">
        <v>590</v>
      </c>
      <c r="H34">
        <v>11800</v>
      </c>
      <c r="I34" s="37" t="str">
        <f>VLOOKUP(A34,MCompany[],2,FALSE)</f>
        <v>Bere Kleid</v>
      </c>
      <c r="J34" t="str">
        <f>VLOOKUP(TableTemp2[[#This Row],[Customer Code]],MCustomer[],2,FALSE)</f>
        <v>Werner Strauss</v>
      </c>
      <c r="K34" t="str">
        <f>VLOOKUP(TableTemp2[[#This Row],[Article code]],MArticle[],2,FALSE)</f>
        <v>Smartphone case simple</v>
      </c>
      <c r="L34" t="str">
        <f>VLOOKUP(TableTemp2[[#This Row],[Company]],MCompany[],3,FALSE)</f>
        <v>EUR</v>
      </c>
      <c r="M34" s="38">
        <f>IF(TableTemp2[[#This Row],[Currency]]="EUR",ROUND(VLOOKUP(MONTH(TableTemp2[[#This Row],[Document Date]]),MExchange[],2,FALSE)*TableTemp2[[#This Row],[Sales Local Currency]],2),ROUND(TableTemp2[[#This Row],[Sales Local Currency]],2))</f>
        <v>13864.28</v>
      </c>
      <c r="S34" s="40"/>
      <c r="AD34" s="39"/>
      <c r="AE34" s="29" t="s">
        <v>45</v>
      </c>
      <c r="AF34">
        <v>6160</v>
      </c>
      <c r="AG34">
        <v>220</v>
      </c>
    </row>
    <row r="35" spans="1:33" x14ac:dyDescent="0.3">
      <c r="A35" s="4" t="s">
        <v>23</v>
      </c>
      <c r="B35">
        <v>88112</v>
      </c>
      <c r="C35" s="24">
        <v>43384</v>
      </c>
      <c r="D35">
        <v>8040</v>
      </c>
      <c r="E35">
        <v>110</v>
      </c>
      <c r="G35">
        <v>530</v>
      </c>
      <c r="H35">
        <v>31800</v>
      </c>
      <c r="I35" s="37" t="str">
        <f>VLOOKUP(A35,MCompany[],2,FALSE)</f>
        <v>Bere Kleid</v>
      </c>
      <c r="J35" t="str">
        <f>VLOOKUP(TableTemp2[[#This Row],[Customer Code]],MCustomer[],2,FALSE)</f>
        <v>Werner Strauss</v>
      </c>
      <c r="K35" t="str">
        <f>VLOOKUP(TableTemp2[[#This Row],[Article code]],MArticle[],2,FALSE)</f>
        <v>Smartphone case diamond</v>
      </c>
      <c r="L35" t="str">
        <f>VLOOKUP(TableTemp2[[#This Row],[Company]],MCompany[],3,FALSE)</f>
        <v>EUR</v>
      </c>
      <c r="M35" s="38">
        <f>IF(TableTemp2[[#This Row],[Currency]]="EUR",ROUND(VLOOKUP(MONTH(TableTemp2[[#This Row],[Document Date]]),MExchange[],2,FALSE)*TableTemp2[[#This Row],[Sales Local Currency]],2),ROUND(TableTemp2[[#This Row],[Sales Local Currency]],2))</f>
        <v>37363.06</v>
      </c>
      <c r="S35" s="40"/>
      <c r="AD35" s="39"/>
      <c r="AE35" s="29" t="s">
        <v>43</v>
      </c>
      <c r="AF35">
        <v>1300</v>
      </c>
      <c r="AG35">
        <v>260</v>
      </c>
    </row>
    <row r="36" spans="1:33" x14ac:dyDescent="0.3">
      <c r="A36" s="4" t="s">
        <v>23</v>
      </c>
      <c r="B36">
        <v>88112</v>
      </c>
      <c r="C36" s="24">
        <v>43384</v>
      </c>
      <c r="D36">
        <v>8040</v>
      </c>
      <c r="E36">
        <v>109</v>
      </c>
      <c r="G36">
        <v>260</v>
      </c>
      <c r="H36">
        <v>7280</v>
      </c>
      <c r="I36" s="37" t="str">
        <f>VLOOKUP(A36,MCompany[],2,FALSE)</f>
        <v>Bere Kleid</v>
      </c>
      <c r="J36" t="str">
        <f>VLOOKUP(TableTemp2[[#This Row],[Customer Code]],MCustomer[],2,FALSE)</f>
        <v>Werner Strauss</v>
      </c>
      <c r="K36" t="str">
        <f>VLOOKUP(TableTemp2[[#This Row],[Article code]],MArticle[],2,FALSE)</f>
        <v>Laptop bag red</v>
      </c>
      <c r="L36" t="str">
        <f>VLOOKUP(TableTemp2[[#This Row],[Company]],MCompany[],3,FALSE)</f>
        <v>EUR</v>
      </c>
      <c r="M36" s="38">
        <f>IF(TableTemp2[[#This Row],[Currency]]="EUR",ROUND(VLOOKUP(MONTH(TableTemp2[[#This Row],[Document Date]]),MExchange[],2,FALSE)*TableTemp2[[#This Row],[Sales Local Currency]],2),ROUND(TableTemp2[[#This Row],[Sales Local Currency]],2))</f>
        <v>8553.56</v>
      </c>
      <c r="S36" s="40"/>
      <c r="AD36" s="39"/>
      <c r="AE36" s="29" t="s">
        <v>50</v>
      </c>
      <c r="AF36">
        <v>5000</v>
      </c>
      <c r="AG36">
        <v>200</v>
      </c>
    </row>
    <row r="37" spans="1:33" x14ac:dyDescent="0.3">
      <c r="A37" s="4" t="s">
        <v>23</v>
      </c>
      <c r="B37">
        <v>85442</v>
      </c>
      <c r="C37" s="24">
        <v>43388</v>
      </c>
      <c r="D37">
        <v>8050</v>
      </c>
      <c r="E37">
        <v>107</v>
      </c>
      <c r="G37">
        <v>270</v>
      </c>
      <c r="H37">
        <v>1350</v>
      </c>
      <c r="I37" s="37" t="str">
        <f>VLOOKUP(A37,MCompany[],2,FALSE)</f>
        <v>Bere Kleid</v>
      </c>
      <c r="J37" t="str">
        <f>VLOOKUP(TableTemp2[[#This Row],[Customer Code]],MCustomer[],2,FALSE)</f>
        <v>Aida GmbH</v>
      </c>
      <c r="K37" t="str">
        <f>VLOOKUP(TableTemp2[[#This Row],[Article code]],MArticle[],2,FALSE)</f>
        <v>Women basics</v>
      </c>
      <c r="L37" t="str">
        <f>VLOOKUP(TableTemp2[[#This Row],[Company]],MCompany[],3,FALSE)</f>
        <v>EUR</v>
      </c>
      <c r="M37" s="38">
        <f>IF(TableTemp2[[#This Row],[Currency]]="EUR",ROUND(VLOOKUP(MONTH(TableTemp2[[#This Row],[Document Date]]),MExchange[],2,FALSE)*TableTemp2[[#This Row],[Sales Local Currency]],2),ROUND(TableTemp2[[#This Row],[Sales Local Currency]],2))</f>
        <v>1586.17</v>
      </c>
      <c r="S37" s="40"/>
      <c r="AD37" s="39"/>
      <c r="AE37" s="29" t="s">
        <v>51</v>
      </c>
      <c r="AF37">
        <v>2500</v>
      </c>
      <c r="AG37">
        <v>100</v>
      </c>
    </row>
    <row r="38" spans="1:33" x14ac:dyDescent="0.3">
      <c r="A38" s="4" t="s">
        <v>23</v>
      </c>
      <c r="B38">
        <v>85442</v>
      </c>
      <c r="C38" s="24">
        <v>43388</v>
      </c>
      <c r="D38">
        <v>8050</v>
      </c>
      <c r="E38">
        <v>103</v>
      </c>
      <c r="G38">
        <v>630</v>
      </c>
      <c r="H38">
        <v>7560</v>
      </c>
      <c r="I38" s="37" t="str">
        <f>VLOOKUP(A38,MCompany[],2,FALSE)</f>
        <v>Bere Kleid</v>
      </c>
      <c r="J38" t="str">
        <f>VLOOKUP(TableTemp2[[#This Row],[Customer Code]],MCustomer[],2,FALSE)</f>
        <v>Aida GmbH</v>
      </c>
      <c r="K38" t="str">
        <f>VLOOKUP(TableTemp2[[#This Row],[Article code]],MArticle[],2,FALSE)</f>
        <v>Women type T simple white</v>
      </c>
      <c r="L38" t="str">
        <f>VLOOKUP(TableTemp2[[#This Row],[Company]],MCompany[],3,FALSE)</f>
        <v>EUR</v>
      </c>
      <c r="M38" s="38">
        <f>IF(TableTemp2[[#This Row],[Currency]]="EUR",ROUND(VLOOKUP(MONTH(TableTemp2[[#This Row],[Document Date]]),MExchange[],2,FALSE)*TableTemp2[[#This Row],[Sales Local Currency]],2),ROUND(TableTemp2[[#This Row],[Sales Local Currency]],2))</f>
        <v>8882.5400000000009</v>
      </c>
      <c r="S38" s="40"/>
      <c r="AD38" s="39"/>
      <c r="AE38" s="29" t="s">
        <v>55</v>
      </c>
      <c r="AF38">
        <v>2520</v>
      </c>
      <c r="AG38">
        <v>140</v>
      </c>
    </row>
    <row r="39" spans="1:33" x14ac:dyDescent="0.3">
      <c r="A39" s="4" t="s">
        <v>23</v>
      </c>
      <c r="B39">
        <v>85442</v>
      </c>
      <c r="C39" s="24">
        <v>43388</v>
      </c>
      <c r="D39">
        <v>8050</v>
      </c>
      <c r="E39">
        <v>104</v>
      </c>
      <c r="G39">
        <v>440</v>
      </c>
      <c r="H39">
        <v>5280</v>
      </c>
      <c r="I39" s="37" t="str">
        <f>VLOOKUP(A39,MCompany[],2,FALSE)</f>
        <v>Bere Kleid</v>
      </c>
      <c r="J39" t="str">
        <f>VLOOKUP(TableTemp2[[#This Row],[Customer Code]],MCustomer[],2,FALSE)</f>
        <v>Aida GmbH</v>
      </c>
      <c r="K39" t="str">
        <f>VLOOKUP(TableTemp2[[#This Row],[Article code]],MArticle[],2,FALSE)</f>
        <v>Women type T simple black</v>
      </c>
      <c r="L39" t="str">
        <f>VLOOKUP(TableTemp2[[#This Row],[Company]],MCompany[],3,FALSE)</f>
        <v>EUR</v>
      </c>
      <c r="M39" s="38">
        <f>IF(TableTemp2[[#This Row],[Currency]]="EUR",ROUND(VLOOKUP(MONTH(TableTemp2[[#This Row],[Document Date]]),MExchange[],2,FALSE)*TableTemp2[[#This Row],[Sales Local Currency]],2),ROUND(TableTemp2[[#This Row],[Sales Local Currency]],2))</f>
        <v>6203.68</v>
      </c>
      <c r="AE39" s="29" t="s">
        <v>54</v>
      </c>
      <c r="AF39">
        <v>2880</v>
      </c>
      <c r="AG39">
        <v>160</v>
      </c>
    </row>
    <row r="40" spans="1:33" x14ac:dyDescent="0.3">
      <c r="A40" s="4" t="s">
        <v>23</v>
      </c>
      <c r="B40">
        <v>85442</v>
      </c>
      <c r="C40" s="24">
        <v>43388</v>
      </c>
      <c r="D40">
        <v>8050</v>
      </c>
      <c r="E40">
        <v>120</v>
      </c>
      <c r="G40">
        <v>500</v>
      </c>
      <c r="H40">
        <v>29000</v>
      </c>
      <c r="I40" s="37" t="str">
        <f>VLOOKUP(A40,MCompany[],2,FALSE)</f>
        <v>Bere Kleid</v>
      </c>
      <c r="J40" t="str">
        <f>VLOOKUP(TableTemp2[[#This Row],[Customer Code]],MCustomer[],2,FALSE)</f>
        <v>Aida GmbH</v>
      </c>
      <c r="K40" t="str">
        <f>VLOOKUP(TableTemp2[[#This Row],[Article code]],MArticle[],2,FALSE)</f>
        <v>Women evening dress Cocktail red</v>
      </c>
      <c r="L40" t="str">
        <f>VLOOKUP(TableTemp2[[#This Row],[Company]],MCompany[],3,FALSE)</f>
        <v>EUR</v>
      </c>
      <c r="M40" s="38">
        <f>IF(TableTemp2[[#This Row],[Currency]]="EUR",ROUND(VLOOKUP(MONTH(TableTemp2[[#This Row],[Document Date]]),MExchange[],2,FALSE)*TableTemp2[[#This Row],[Sales Local Currency]],2),ROUND(TableTemp2[[#This Row],[Sales Local Currency]],2))</f>
        <v>34073.230000000003</v>
      </c>
      <c r="AE40" s="29" t="s">
        <v>39</v>
      </c>
      <c r="AF40">
        <v>2400</v>
      </c>
      <c r="AG40">
        <v>200</v>
      </c>
    </row>
    <row r="41" spans="1:33" x14ac:dyDescent="0.3">
      <c r="A41" s="4" t="s">
        <v>23</v>
      </c>
      <c r="B41">
        <v>85442</v>
      </c>
      <c r="C41" s="24">
        <v>43388</v>
      </c>
      <c r="D41">
        <v>8050</v>
      </c>
      <c r="E41">
        <v>119</v>
      </c>
      <c r="F41">
        <v>1</v>
      </c>
      <c r="G41">
        <v>360</v>
      </c>
      <c r="H41">
        <v>22320</v>
      </c>
      <c r="I41" s="37" t="str">
        <f>VLOOKUP(A41,MCompany[],2,FALSE)</f>
        <v>Bere Kleid</v>
      </c>
      <c r="J41" t="str">
        <f>VLOOKUP(TableTemp2[[#This Row],[Customer Code]],MCustomer[],2,FALSE)</f>
        <v>Aida GmbH</v>
      </c>
      <c r="K41" t="str">
        <f>VLOOKUP(TableTemp2[[#This Row],[Article code]],MArticle[],2,FALSE)</f>
        <v>Women evening dress long black</v>
      </c>
      <c r="L41" t="str">
        <f>VLOOKUP(TableTemp2[[#This Row],[Company]],MCompany[],3,FALSE)</f>
        <v>EUR</v>
      </c>
      <c r="M41" s="38">
        <f>IF(TableTemp2[[#This Row],[Currency]]="EUR",ROUND(VLOOKUP(MONTH(TableTemp2[[#This Row],[Document Date]]),MExchange[],2,FALSE)*TableTemp2[[#This Row],[Sales Local Currency]],2),ROUND(TableTemp2[[#This Row],[Sales Local Currency]],2))</f>
        <v>26224.639999999999</v>
      </c>
      <c r="AE41" s="29" t="s">
        <v>38</v>
      </c>
      <c r="AF41">
        <v>6480</v>
      </c>
      <c r="AG41">
        <v>540</v>
      </c>
    </row>
    <row r="42" spans="1:33" x14ac:dyDescent="0.3">
      <c r="A42" s="4" t="s">
        <v>23</v>
      </c>
      <c r="B42">
        <v>85442</v>
      </c>
      <c r="C42" s="24">
        <v>43388</v>
      </c>
      <c r="D42">
        <v>8050</v>
      </c>
      <c r="E42">
        <v>115</v>
      </c>
      <c r="G42">
        <v>810</v>
      </c>
      <c r="H42">
        <v>4860</v>
      </c>
      <c r="I42" s="37" t="str">
        <f>VLOOKUP(A42,MCompany[],2,FALSE)</f>
        <v>Bere Kleid</v>
      </c>
      <c r="J42" t="str">
        <f>VLOOKUP(TableTemp2[[#This Row],[Customer Code]],MCustomer[],2,FALSE)</f>
        <v>Aida GmbH</v>
      </c>
      <c r="K42" t="str">
        <f>VLOOKUP(TableTemp2[[#This Row],[Article code]],MArticle[],2,FALSE)</f>
        <v>Unisex tank top black</v>
      </c>
      <c r="L42" t="str">
        <f>VLOOKUP(TableTemp2[[#This Row],[Company]],MCompany[],3,FALSE)</f>
        <v>EUR</v>
      </c>
      <c r="M42" s="38">
        <f>IF(TableTemp2[[#This Row],[Currency]]="EUR",ROUND(VLOOKUP(MONTH(TableTemp2[[#This Row],[Document Date]]),MExchange[],2,FALSE)*TableTemp2[[#This Row],[Sales Local Currency]],2),ROUND(TableTemp2[[#This Row],[Sales Local Currency]],2))</f>
        <v>5710.2</v>
      </c>
      <c r="AE42" s="29" t="s">
        <v>44</v>
      </c>
      <c r="AF42">
        <v>3200</v>
      </c>
      <c r="AG42">
        <v>640</v>
      </c>
    </row>
    <row r="43" spans="1:33" x14ac:dyDescent="0.3">
      <c r="A43" s="4" t="s">
        <v>23</v>
      </c>
      <c r="B43">
        <v>85442</v>
      </c>
      <c r="C43" s="24">
        <v>43388</v>
      </c>
      <c r="D43">
        <v>8050</v>
      </c>
      <c r="E43">
        <v>108</v>
      </c>
      <c r="G43">
        <v>800</v>
      </c>
      <c r="H43">
        <v>22400</v>
      </c>
      <c r="I43" s="37" t="str">
        <f>VLOOKUP(A43,MCompany[],2,FALSE)</f>
        <v>Bere Kleid</v>
      </c>
      <c r="J43" t="str">
        <f>VLOOKUP(TableTemp2[[#This Row],[Customer Code]],MCustomer[],2,FALSE)</f>
        <v>Aida GmbH</v>
      </c>
      <c r="K43" t="str">
        <f>VLOOKUP(TableTemp2[[#This Row],[Article code]],MArticle[],2,FALSE)</f>
        <v>Laptop bag black</v>
      </c>
      <c r="L43" t="str">
        <f>VLOOKUP(TableTemp2[[#This Row],[Company]],MCompany[],3,FALSE)</f>
        <v>EUR</v>
      </c>
      <c r="M43" s="38">
        <f>IF(TableTemp2[[#This Row],[Currency]]="EUR",ROUND(VLOOKUP(MONTH(TableTemp2[[#This Row],[Document Date]]),MExchange[],2,FALSE)*TableTemp2[[#This Row],[Sales Local Currency]],2),ROUND(TableTemp2[[#This Row],[Sales Local Currency]],2))</f>
        <v>26318.63</v>
      </c>
      <c r="AE43" s="29" t="s">
        <v>42</v>
      </c>
      <c r="AF43">
        <v>5500</v>
      </c>
      <c r="AG43">
        <v>550</v>
      </c>
    </row>
    <row r="44" spans="1:33" x14ac:dyDescent="0.3">
      <c r="A44" s="4" t="s">
        <v>23</v>
      </c>
      <c r="B44">
        <v>88588</v>
      </c>
      <c r="C44" s="24">
        <v>43388</v>
      </c>
      <c r="D44">
        <v>8040</v>
      </c>
      <c r="E44">
        <v>120</v>
      </c>
      <c r="G44">
        <v>470</v>
      </c>
      <c r="H44">
        <v>27260</v>
      </c>
      <c r="I44" s="37" t="str">
        <f>VLOOKUP(A44,MCompany[],2,FALSE)</f>
        <v>Bere Kleid</v>
      </c>
      <c r="J44" t="str">
        <f>VLOOKUP(TableTemp2[[#This Row],[Customer Code]],MCustomer[],2,FALSE)</f>
        <v>Werner Strauss</v>
      </c>
      <c r="K44" t="str">
        <f>VLOOKUP(TableTemp2[[#This Row],[Article code]],MArticle[],2,FALSE)</f>
        <v>Women evening dress Cocktail red</v>
      </c>
      <c r="L44" t="str">
        <f>VLOOKUP(TableTemp2[[#This Row],[Company]],MCompany[],3,FALSE)</f>
        <v>EUR</v>
      </c>
      <c r="M44" s="38">
        <f>IF(TableTemp2[[#This Row],[Currency]]="EUR",ROUND(VLOOKUP(MONTH(TableTemp2[[#This Row],[Document Date]]),MExchange[],2,FALSE)*TableTemp2[[#This Row],[Sales Local Currency]],2),ROUND(TableTemp2[[#This Row],[Sales Local Currency]],2))</f>
        <v>32028.84</v>
      </c>
      <c r="AE44" s="29" t="s">
        <v>41</v>
      </c>
      <c r="AF44">
        <v>9840</v>
      </c>
      <c r="AG44">
        <v>820</v>
      </c>
    </row>
    <row r="45" spans="1:33" x14ac:dyDescent="0.3">
      <c r="A45" s="4" t="s">
        <v>23</v>
      </c>
      <c r="B45">
        <v>88588</v>
      </c>
      <c r="C45" s="24">
        <v>43388</v>
      </c>
      <c r="D45">
        <v>8040</v>
      </c>
      <c r="E45">
        <v>119</v>
      </c>
      <c r="G45">
        <v>860</v>
      </c>
      <c r="H45">
        <v>53320</v>
      </c>
      <c r="I45" s="37" t="str">
        <f>VLOOKUP(A45,MCompany[],2,FALSE)</f>
        <v>Bere Kleid</v>
      </c>
      <c r="J45" t="str">
        <f>VLOOKUP(TableTemp2[[#This Row],[Customer Code]],MCustomer[],2,FALSE)</f>
        <v>Werner Strauss</v>
      </c>
      <c r="K45" t="str">
        <f>VLOOKUP(TableTemp2[[#This Row],[Article code]],MArticle[],2,FALSE)</f>
        <v>Women evening dress long black</v>
      </c>
      <c r="L45" t="str">
        <f>VLOOKUP(TableTemp2[[#This Row],[Company]],MCompany[],3,FALSE)</f>
        <v>EUR</v>
      </c>
      <c r="M45" s="38">
        <f>IF(TableTemp2[[#This Row],[Currency]]="EUR",ROUND(VLOOKUP(MONTH(TableTemp2[[#This Row],[Document Date]]),MExchange[],2,FALSE)*TableTemp2[[#This Row],[Sales Local Currency]],2),ROUND(TableTemp2[[#This Row],[Sales Local Currency]],2))</f>
        <v>62647.75</v>
      </c>
      <c r="AE45" s="29" t="s">
        <v>40</v>
      </c>
      <c r="AF45">
        <v>10080</v>
      </c>
      <c r="AG45">
        <v>840</v>
      </c>
    </row>
    <row r="46" spans="1:33" x14ac:dyDescent="0.3">
      <c r="A46" s="4" t="s">
        <v>23</v>
      </c>
      <c r="B46">
        <v>88588</v>
      </c>
      <c r="C46" s="24">
        <v>43388</v>
      </c>
      <c r="D46">
        <v>8040</v>
      </c>
      <c r="E46">
        <v>110</v>
      </c>
      <c r="G46">
        <v>180</v>
      </c>
      <c r="H46">
        <v>10800</v>
      </c>
      <c r="I46" s="37" t="str">
        <f>VLOOKUP(A46,MCompany[],2,FALSE)</f>
        <v>Bere Kleid</v>
      </c>
      <c r="J46" t="str">
        <f>VLOOKUP(TableTemp2[[#This Row],[Customer Code]],MCustomer[],2,FALSE)</f>
        <v>Werner Strauss</v>
      </c>
      <c r="K46" t="str">
        <f>VLOOKUP(TableTemp2[[#This Row],[Article code]],MArticle[],2,FALSE)</f>
        <v>Smartphone case diamond</v>
      </c>
      <c r="L46" t="str">
        <f>VLOOKUP(TableTemp2[[#This Row],[Company]],MCompany[],3,FALSE)</f>
        <v>EUR</v>
      </c>
      <c r="M46" s="38">
        <f>IF(TableTemp2[[#This Row],[Currency]]="EUR",ROUND(VLOOKUP(MONTH(TableTemp2[[#This Row],[Document Date]]),MExchange[],2,FALSE)*TableTemp2[[#This Row],[Sales Local Currency]],2),ROUND(TableTemp2[[#This Row],[Sales Local Currency]],2))</f>
        <v>12689.34</v>
      </c>
      <c r="AE46" s="26" t="s">
        <v>35</v>
      </c>
      <c r="AF46">
        <v>49800</v>
      </c>
      <c r="AG46">
        <v>1390</v>
      </c>
    </row>
    <row r="47" spans="1:33" x14ac:dyDescent="0.3">
      <c r="A47" s="4" t="s">
        <v>23</v>
      </c>
      <c r="B47">
        <v>88588</v>
      </c>
      <c r="C47" s="24">
        <v>43388</v>
      </c>
      <c r="D47">
        <v>8040</v>
      </c>
      <c r="E47">
        <v>111</v>
      </c>
      <c r="G47">
        <v>750</v>
      </c>
      <c r="H47">
        <v>15000</v>
      </c>
      <c r="I47" s="37" t="str">
        <f>VLOOKUP(A47,MCompany[],2,FALSE)</f>
        <v>Bere Kleid</v>
      </c>
      <c r="J47" t="str">
        <f>VLOOKUP(TableTemp2[[#This Row],[Customer Code]],MCustomer[],2,FALSE)</f>
        <v>Werner Strauss</v>
      </c>
      <c r="K47" t="str">
        <f>VLOOKUP(TableTemp2[[#This Row],[Article code]],MArticle[],2,FALSE)</f>
        <v>Smartphone case simple</v>
      </c>
      <c r="L47" t="str">
        <f>VLOOKUP(TableTemp2[[#This Row],[Company]],MCompany[],3,FALSE)</f>
        <v>EUR</v>
      </c>
      <c r="M47" s="38">
        <f>IF(TableTemp2[[#This Row],[Currency]]="EUR",ROUND(VLOOKUP(MONTH(TableTemp2[[#This Row],[Document Date]]),MExchange[],2,FALSE)*TableTemp2[[#This Row],[Sales Local Currency]],2),ROUND(TableTemp2[[#This Row],[Sales Local Currency]],2))</f>
        <v>17624.09</v>
      </c>
      <c r="AE47" s="29" t="s">
        <v>45</v>
      </c>
      <c r="AF47">
        <v>10920</v>
      </c>
      <c r="AG47">
        <v>390</v>
      </c>
    </row>
    <row r="48" spans="1:33" x14ac:dyDescent="0.3">
      <c r="A48" s="4" t="s">
        <v>23</v>
      </c>
      <c r="B48">
        <v>88588</v>
      </c>
      <c r="C48" s="24">
        <v>43388</v>
      </c>
      <c r="D48">
        <v>8040</v>
      </c>
      <c r="E48">
        <v>109</v>
      </c>
      <c r="G48">
        <v>560</v>
      </c>
      <c r="H48">
        <v>15680</v>
      </c>
      <c r="I48" s="37" t="str">
        <f>VLOOKUP(A48,MCompany[],2,FALSE)</f>
        <v>Bere Kleid</v>
      </c>
      <c r="J48" t="str">
        <f>VLOOKUP(TableTemp2[[#This Row],[Customer Code]],MCustomer[],2,FALSE)</f>
        <v>Werner Strauss</v>
      </c>
      <c r="K48" t="str">
        <f>VLOOKUP(TableTemp2[[#This Row],[Article code]],MArticle[],2,FALSE)</f>
        <v>Laptop bag red</v>
      </c>
      <c r="L48" t="str">
        <f>VLOOKUP(TableTemp2[[#This Row],[Company]],MCompany[],3,FALSE)</f>
        <v>EUR</v>
      </c>
      <c r="M48" s="38">
        <f>IF(TableTemp2[[#This Row],[Currency]]="EUR",ROUND(VLOOKUP(MONTH(TableTemp2[[#This Row],[Document Date]]),MExchange[],2,FALSE)*TableTemp2[[#This Row],[Sales Local Currency]],2),ROUND(TableTemp2[[#This Row],[Sales Local Currency]],2))</f>
        <v>18423.04</v>
      </c>
      <c r="AE48" s="29" t="s">
        <v>46</v>
      </c>
      <c r="AF48">
        <v>18480</v>
      </c>
      <c r="AG48">
        <v>660</v>
      </c>
    </row>
    <row r="49" spans="1:33" x14ac:dyDescent="0.3">
      <c r="A49" s="4" t="s">
        <v>23</v>
      </c>
      <c r="B49">
        <v>88588</v>
      </c>
      <c r="C49" s="24">
        <v>43388</v>
      </c>
      <c r="D49">
        <v>8040</v>
      </c>
      <c r="E49">
        <v>105</v>
      </c>
      <c r="G49">
        <v>130</v>
      </c>
      <c r="H49">
        <v>1300</v>
      </c>
      <c r="I49" s="37" t="str">
        <f>VLOOKUP(A49,MCompany[],2,FALSE)</f>
        <v>Bere Kleid</v>
      </c>
      <c r="J49" t="str">
        <f>VLOOKUP(TableTemp2[[#This Row],[Customer Code]],MCustomer[],2,FALSE)</f>
        <v>Werner Strauss</v>
      </c>
      <c r="K49" t="str">
        <f>VLOOKUP(TableTemp2[[#This Row],[Article code]],MArticle[],2,FALSE)</f>
        <v>Women crop top black</v>
      </c>
      <c r="L49" t="str">
        <f>VLOOKUP(TableTemp2[[#This Row],[Company]],MCompany[],3,FALSE)</f>
        <v>EUR</v>
      </c>
      <c r="M49" s="38">
        <f>IF(TableTemp2[[#This Row],[Currency]]="EUR",ROUND(VLOOKUP(MONTH(TableTemp2[[#This Row],[Document Date]]),MExchange[],2,FALSE)*TableTemp2[[#This Row],[Sales Local Currency]],2),ROUND(TableTemp2[[#This Row],[Sales Local Currency]],2))</f>
        <v>1527.42</v>
      </c>
      <c r="AE49" s="29" t="s">
        <v>47</v>
      </c>
      <c r="AF49">
        <v>20400</v>
      </c>
      <c r="AG49">
        <v>340</v>
      </c>
    </row>
    <row r="50" spans="1:33" x14ac:dyDescent="0.3">
      <c r="A50" s="4" t="s">
        <v>23</v>
      </c>
      <c r="B50">
        <v>88588</v>
      </c>
      <c r="C50" s="24">
        <v>43388</v>
      </c>
      <c r="D50">
        <v>8040</v>
      </c>
      <c r="E50">
        <v>103</v>
      </c>
      <c r="G50">
        <v>110</v>
      </c>
      <c r="H50">
        <v>1320</v>
      </c>
      <c r="I50" s="37" t="str">
        <f>VLOOKUP(A50,MCompany[],2,FALSE)</f>
        <v>Bere Kleid</v>
      </c>
      <c r="J50" t="str">
        <f>VLOOKUP(TableTemp2[[#This Row],[Customer Code]],MCustomer[],2,FALSE)</f>
        <v>Werner Strauss</v>
      </c>
      <c r="K50" t="str">
        <f>VLOOKUP(TableTemp2[[#This Row],[Article code]],MArticle[],2,FALSE)</f>
        <v>Women type T simple white</v>
      </c>
      <c r="L50" t="str">
        <f>VLOOKUP(TableTemp2[[#This Row],[Company]],MCompany[],3,FALSE)</f>
        <v>EUR</v>
      </c>
      <c r="M50" s="38">
        <f>IF(TableTemp2[[#This Row],[Currency]]="EUR",ROUND(VLOOKUP(MONTH(TableTemp2[[#This Row],[Document Date]]),MExchange[],2,FALSE)*TableTemp2[[#This Row],[Sales Local Currency]],2),ROUND(TableTemp2[[#This Row],[Sales Local Currency]],2))</f>
        <v>1550.92</v>
      </c>
      <c r="AE50" s="26" t="s">
        <v>33</v>
      </c>
      <c r="AF50">
        <v>322170</v>
      </c>
      <c r="AG50">
        <v>9660</v>
      </c>
    </row>
    <row r="51" spans="1:33" x14ac:dyDescent="0.3">
      <c r="A51" s="4" t="s">
        <v>23</v>
      </c>
      <c r="B51">
        <v>88544</v>
      </c>
      <c r="C51" s="24">
        <v>43395</v>
      </c>
      <c r="D51">
        <v>8040</v>
      </c>
      <c r="E51">
        <v>107</v>
      </c>
      <c r="G51">
        <v>770</v>
      </c>
      <c r="H51">
        <v>3850</v>
      </c>
      <c r="I51" s="37" t="str">
        <f>VLOOKUP(A51,MCompany[],2,FALSE)</f>
        <v>Bere Kleid</v>
      </c>
      <c r="J51" t="str">
        <f>VLOOKUP(TableTemp2[[#This Row],[Customer Code]],MCustomer[],2,FALSE)</f>
        <v>Werner Strauss</v>
      </c>
      <c r="K51" t="str">
        <f>VLOOKUP(TableTemp2[[#This Row],[Article code]],MArticle[],2,FALSE)</f>
        <v>Women basics</v>
      </c>
      <c r="L51" t="str">
        <f>VLOOKUP(TableTemp2[[#This Row],[Company]],MCompany[],3,FALSE)</f>
        <v>EUR</v>
      </c>
      <c r="M51" s="38">
        <f>IF(TableTemp2[[#This Row],[Currency]]="EUR",ROUND(VLOOKUP(MONTH(TableTemp2[[#This Row],[Document Date]]),MExchange[],2,FALSE)*TableTemp2[[#This Row],[Sales Local Currency]],2),ROUND(TableTemp2[[#This Row],[Sales Local Currency]],2))</f>
        <v>4523.5200000000004</v>
      </c>
      <c r="AE51" s="29" t="s">
        <v>46</v>
      </c>
      <c r="AF51">
        <v>22960</v>
      </c>
      <c r="AG51">
        <v>820</v>
      </c>
    </row>
    <row r="52" spans="1:33" x14ac:dyDescent="0.3">
      <c r="A52" s="4" t="s">
        <v>23</v>
      </c>
      <c r="B52">
        <v>88544</v>
      </c>
      <c r="C52" s="24">
        <v>43395</v>
      </c>
      <c r="D52">
        <v>8040</v>
      </c>
      <c r="E52">
        <v>120</v>
      </c>
      <c r="G52">
        <v>300</v>
      </c>
      <c r="H52">
        <v>17400</v>
      </c>
      <c r="I52" s="37" t="str">
        <f>VLOOKUP(A52,MCompany[],2,FALSE)</f>
        <v>Bere Kleid</v>
      </c>
      <c r="J52" t="str">
        <f>VLOOKUP(TableTemp2[[#This Row],[Customer Code]],MCustomer[],2,FALSE)</f>
        <v>Werner Strauss</v>
      </c>
      <c r="K52" t="str">
        <f>VLOOKUP(TableTemp2[[#This Row],[Article code]],MArticle[],2,FALSE)</f>
        <v>Women evening dress Cocktail red</v>
      </c>
      <c r="L52" t="str">
        <f>VLOOKUP(TableTemp2[[#This Row],[Company]],MCompany[],3,FALSE)</f>
        <v>EUR</v>
      </c>
      <c r="M52" s="38">
        <f>IF(TableTemp2[[#This Row],[Currency]]="EUR",ROUND(VLOOKUP(MONTH(TableTemp2[[#This Row],[Document Date]]),MExchange[],2,FALSE)*TableTemp2[[#This Row],[Sales Local Currency]],2),ROUND(TableTemp2[[#This Row],[Sales Local Currency]],2))</f>
        <v>20443.939999999999</v>
      </c>
      <c r="AE52" s="29" t="s">
        <v>47</v>
      </c>
      <c r="AF52">
        <v>101400</v>
      </c>
      <c r="AG52">
        <v>1690</v>
      </c>
    </row>
    <row r="53" spans="1:33" x14ac:dyDescent="0.3">
      <c r="A53" s="4" t="s">
        <v>23</v>
      </c>
      <c r="B53">
        <v>88666</v>
      </c>
      <c r="C53" s="24">
        <v>43399</v>
      </c>
      <c r="D53">
        <v>8030</v>
      </c>
      <c r="E53">
        <v>119</v>
      </c>
      <c r="G53">
        <v>330</v>
      </c>
      <c r="H53">
        <v>20460</v>
      </c>
      <c r="I53" s="37" t="str">
        <f>VLOOKUP(A53,MCompany[],2,FALSE)</f>
        <v>Bere Kleid</v>
      </c>
      <c r="J53" t="str">
        <f>VLOOKUP(TableTemp2[[#This Row],[Customer Code]],MCustomer[],2,FALSE)</f>
        <v>Edson</v>
      </c>
      <c r="K53" t="str">
        <f>VLOOKUP(TableTemp2[[#This Row],[Article code]],MArticle[],2,FALSE)</f>
        <v>Women evening dress long black</v>
      </c>
      <c r="L53" t="str">
        <f>VLOOKUP(TableTemp2[[#This Row],[Company]],MCompany[],3,FALSE)</f>
        <v>EUR</v>
      </c>
      <c r="M53" s="38">
        <f>IF(TableTemp2[[#This Row],[Currency]]="EUR",ROUND(VLOOKUP(MONTH(TableTemp2[[#This Row],[Document Date]]),MExchange[],2,FALSE)*TableTemp2[[#This Row],[Sales Local Currency]],2),ROUND(TableTemp2[[#This Row],[Sales Local Currency]],2))</f>
        <v>24039.25</v>
      </c>
      <c r="AE53" s="29" t="s">
        <v>48</v>
      </c>
      <c r="AF53">
        <v>26800</v>
      </c>
      <c r="AG53">
        <v>1340</v>
      </c>
    </row>
    <row r="54" spans="1:33" x14ac:dyDescent="0.3">
      <c r="A54" s="4" t="s">
        <v>23</v>
      </c>
      <c r="B54">
        <v>88666</v>
      </c>
      <c r="C54" s="24">
        <v>43399</v>
      </c>
      <c r="D54">
        <v>8030</v>
      </c>
      <c r="E54">
        <v>107</v>
      </c>
      <c r="G54">
        <v>460</v>
      </c>
      <c r="H54">
        <v>2300</v>
      </c>
      <c r="I54" s="37" t="str">
        <f>VLOOKUP(A54,MCompany[],2,FALSE)</f>
        <v>Bere Kleid</v>
      </c>
      <c r="J54" t="str">
        <f>VLOOKUP(TableTemp2[[#This Row],[Customer Code]],MCustomer[],2,FALSE)</f>
        <v>Edson</v>
      </c>
      <c r="K54" t="str">
        <f>VLOOKUP(TableTemp2[[#This Row],[Article code]],MArticle[],2,FALSE)</f>
        <v>Women basics</v>
      </c>
      <c r="L54" t="str">
        <f>VLOOKUP(TableTemp2[[#This Row],[Company]],MCompany[],3,FALSE)</f>
        <v>EUR</v>
      </c>
      <c r="M54" s="38">
        <f>IF(TableTemp2[[#This Row],[Currency]]="EUR",ROUND(VLOOKUP(MONTH(TableTemp2[[#This Row],[Document Date]]),MExchange[],2,FALSE)*TableTemp2[[#This Row],[Sales Local Currency]],2),ROUND(TableTemp2[[#This Row],[Sales Local Currency]],2))</f>
        <v>2702.36</v>
      </c>
      <c r="AE54" s="29" t="s">
        <v>53</v>
      </c>
      <c r="AF54">
        <v>4560</v>
      </c>
      <c r="AG54">
        <v>760</v>
      </c>
    </row>
    <row r="55" spans="1:33" x14ac:dyDescent="0.3">
      <c r="A55" s="4" t="s">
        <v>23</v>
      </c>
      <c r="B55">
        <v>88666</v>
      </c>
      <c r="C55" s="24">
        <v>43399</v>
      </c>
      <c r="D55">
        <v>8030</v>
      </c>
      <c r="E55">
        <v>105</v>
      </c>
      <c r="F55">
        <v>1</v>
      </c>
      <c r="G55">
        <v>470</v>
      </c>
      <c r="H55">
        <v>4700</v>
      </c>
      <c r="I55" s="37" t="str">
        <f>VLOOKUP(A55,MCompany[],2,FALSE)</f>
        <v>Bere Kleid</v>
      </c>
      <c r="J55" t="str">
        <f>VLOOKUP(TableTemp2[[#This Row],[Customer Code]],MCustomer[],2,FALSE)</f>
        <v>Edson</v>
      </c>
      <c r="K55" t="str">
        <f>VLOOKUP(TableTemp2[[#This Row],[Article code]],MArticle[],2,FALSE)</f>
        <v>Women crop top black</v>
      </c>
      <c r="L55" t="str">
        <f>VLOOKUP(TableTemp2[[#This Row],[Company]],MCompany[],3,FALSE)</f>
        <v>EUR</v>
      </c>
      <c r="M55" s="38">
        <f>IF(TableTemp2[[#This Row],[Currency]]="EUR",ROUND(VLOOKUP(MONTH(TableTemp2[[#This Row],[Document Date]]),MExchange[],2,FALSE)*TableTemp2[[#This Row],[Sales Local Currency]],2),ROUND(TableTemp2[[#This Row],[Sales Local Currency]],2))</f>
        <v>5522.21</v>
      </c>
      <c r="AE55" s="29" t="s">
        <v>44</v>
      </c>
      <c r="AF55">
        <v>7650</v>
      </c>
      <c r="AG55">
        <v>1530</v>
      </c>
    </row>
    <row r="56" spans="1:33" x14ac:dyDescent="0.3">
      <c r="A56" s="4" t="s">
        <v>23</v>
      </c>
      <c r="B56">
        <v>88666</v>
      </c>
      <c r="C56" s="24">
        <v>43399</v>
      </c>
      <c r="D56">
        <v>8030</v>
      </c>
      <c r="E56">
        <v>115</v>
      </c>
      <c r="G56">
        <v>390</v>
      </c>
      <c r="H56">
        <v>2340</v>
      </c>
      <c r="I56" s="37" t="str">
        <f>VLOOKUP(A56,MCompany[],2,FALSE)</f>
        <v>Bere Kleid</v>
      </c>
      <c r="J56" t="str">
        <f>VLOOKUP(TableTemp2[[#This Row],[Customer Code]],MCustomer[],2,FALSE)</f>
        <v>Edson</v>
      </c>
      <c r="K56" t="str">
        <f>VLOOKUP(TableTemp2[[#This Row],[Article code]],MArticle[],2,FALSE)</f>
        <v>Unisex tank top black</v>
      </c>
      <c r="L56" t="str">
        <f>VLOOKUP(TableTemp2[[#This Row],[Company]],MCompany[],3,FALSE)</f>
        <v>EUR</v>
      </c>
      <c r="M56" s="38">
        <f>IF(TableTemp2[[#This Row],[Currency]]="EUR",ROUND(VLOOKUP(MONTH(TableTemp2[[#This Row],[Document Date]]),MExchange[],2,FALSE)*TableTemp2[[#This Row],[Sales Local Currency]],2),ROUND(TableTemp2[[#This Row],[Sales Local Currency]],2))</f>
        <v>2749.36</v>
      </c>
      <c r="AE56" s="29" t="s">
        <v>42</v>
      </c>
      <c r="AF56">
        <v>1300</v>
      </c>
      <c r="AG56">
        <v>130</v>
      </c>
    </row>
    <row r="57" spans="1:33" x14ac:dyDescent="0.3">
      <c r="A57" s="4" t="s">
        <v>23</v>
      </c>
      <c r="B57">
        <v>88666</v>
      </c>
      <c r="C57" s="24">
        <v>43399</v>
      </c>
      <c r="D57">
        <v>8030</v>
      </c>
      <c r="E57">
        <v>116</v>
      </c>
      <c r="G57">
        <v>260</v>
      </c>
      <c r="H57">
        <v>1560</v>
      </c>
      <c r="I57" s="37" t="str">
        <f>VLOOKUP(A57,MCompany[],2,FALSE)</f>
        <v>Bere Kleid</v>
      </c>
      <c r="J57" t="str">
        <f>VLOOKUP(TableTemp2[[#This Row],[Customer Code]],MCustomer[],2,FALSE)</f>
        <v>Edson</v>
      </c>
      <c r="K57" t="str">
        <f>VLOOKUP(TableTemp2[[#This Row],[Article code]],MArticle[],2,FALSE)</f>
        <v>Unisex tank top white</v>
      </c>
      <c r="L57" t="str">
        <f>VLOOKUP(TableTemp2[[#This Row],[Company]],MCompany[],3,FALSE)</f>
        <v>EUR</v>
      </c>
      <c r="M57" s="38">
        <f>IF(TableTemp2[[#This Row],[Currency]]="EUR",ROUND(VLOOKUP(MONTH(TableTemp2[[#This Row],[Document Date]]),MExchange[],2,FALSE)*TableTemp2[[#This Row],[Sales Local Currency]],2),ROUND(TableTemp2[[#This Row],[Sales Local Currency]],2))</f>
        <v>1832.9</v>
      </c>
      <c r="AE57" s="29" t="s">
        <v>57</v>
      </c>
      <c r="AF57">
        <v>53360</v>
      </c>
      <c r="AG57">
        <v>920</v>
      </c>
    </row>
    <row r="58" spans="1:33" x14ac:dyDescent="0.3">
      <c r="A58" s="4" t="s">
        <v>26</v>
      </c>
      <c r="B58">
        <v>44030</v>
      </c>
      <c r="C58" s="24">
        <v>43377</v>
      </c>
      <c r="D58">
        <v>8060</v>
      </c>
      <c r="E58">
        <v>108</v>
      </c>
      <c r="F58" t="s">
        <v>89</v>
      </c>
      <c r="G58">
        <v>60</v>
      </c>
      <c r="H58">
        <v>1680</v>
      </c>
      <c r="I58" s="37" t="str">
        <f>VLOOKUP(A58,MCompany[],2,FALSE)</f>
        <v>Lucas Basics</v>
      </c>
      <c r="J58" t="str">
        <f>VLOOKUP(TableTemp2[[#This Row],[Customer Code]],MCustomer[],2,FALSE)</f>
        <v>Liebher</v>
      </c>
      <c r="K58" t="str">
        <f>VLOOKUP(TableTemp2[[#This Row],[Article code]],MArticle[],2,FALSE)</f>
        <v>Laptop bag black</v>
      </c>
      <c r="L58" t="str">
        <f>VLOOKUP(TableTemp2[[#This Row],[Company]],MCompany[],3,FALSE)</f>
        <v>EUR</v>
      </c>
      <c r="M58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  <c r="AE58" s="29" t="s">
        <v>56</v>
      </c>
      <c r="AF58">
        <v>92380</v>
      </c>
      <c r="AG58">
        <v>1490</v>
      </c>
    </row>
    <row r="59" spans="1:33" x14ac:dyDescent="0.3">
      <c r="A59" s="4" t="s">
        <v>26</v>
      </c>
      <c r="B59">
        <v>44030</v>
      </c>
      <c r="C59" s="24">
        <v>43377</v>
      </c>
      <c r="D59">
        <v>8060</v>
      </c>
      <c r="E59">
        <v>109</v>
      </c>
      <c r="F59">
        <v>1</v>
      </c>
      <c r="G59">
        <v>60</v>
      </c>
      <c r="H59">
        <v>1680</v>
      </c>
      <c r="I59" s="37" t="str">
        <f>VLOOKUP(A59,MCompany[],2,FALSE)</f>
        <v>Lucas Basics</v>
      </c>
      <c r="J59" t="str">
        <f>VLOOKUP(TableTemp2[[#This Row],[Customer Code]],MCustomer[],2,FALSE)</f>
        <v>Liebher</v>
      </c>
      <c r="K59" t="str">
        <f>VLOOKUP(TableTemp2[[#This Row],[Article code]],MArticle[],2,FALSE)</f>
        <v>Laptop bag red</v>
      </c>
      <c r="L59" t="str">
        <f>VLOOKUP(TableTemp2[[#This Row],[Company]],MCompany[],3,FALSE)</f>
        <v>EUR</v>
      </c>
      <c r="M59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  <c r="AE59" s="29" t="s">
        <v>41</v>
      </c>
      <c r="AF59">
        <v>10440</v>
      </c>
      <c r="AG59">
        <v>870</v>
      </c>
    </row>
    <row r="60" spans="1:33" x14ac:dyDescent="0.3">
      <c r="A60" s="4" t="s">
        <v>26</v>
      </c>
      <c r="B60">
        <v>44032</v>
      </c>
      <c r="C60" s="24">
        <v>43380</v>
      </c>
      <c r="D60">
        <v>8060</v>
      </c>
      <c r="E60">
        <v>108</v>
      </c>
      <c r="F60" t="s">
        <v>89</v>
      </c>
      <c r="G60">
        <v>60</v>
      </c>
      <c r="H60">
        <v>1680</v>
      </c>
      <c r="I60" s="37" t="str">
        <f>VLOOKUP(A60,MCompany[],2,FALSE)</f>
        <v>Lucas Basics</v>
      </c>
      <c r="J60" t="str">
        <f>VLOOKUP(TableTemp2[[#This Row],[Customer Code]],MCustomer[],2,FALSE)</f>
        <v>Liebher</v>
      </c>
      <c r="K60" t="str">
        <f>VLOOKUP(TableTemp2[[#This Row],[Article code]],MArticle[],2,FALSE)</f>
        <v>Laptop bag black</v>
      </c>
      <c r="L60" t="str">
        <f>VLOOKUP(TableTemp2[[#This Row],[Company]],MCompany[],3,FALSE)</f>
        <v>EUR</v>
      </c>
      <c r="M60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  <c r="AE60" s="29" t="s">
        <v>40</v>
      </c>
      <c r="AF60">
        <v>1320</v>
      </c>
      <c r="AG60">
        <v>110</v>
      </c>
    </row>
    <row r="61" spans="1:33" x14ac:dyDescent="0.3">
      <c r="A61" s="4" t="s">
        <v>26</v>
      </c>
      <c r="B61">
        <v>44032</v>
      </c>
      <c r="C61" s="24">
        <v>43380</v>
      </c>
      <c r="D61">
        <v>8060</v>
      </c>
      <c r="E61">
        <v>109</v>
      </c>
      <c r="G61">
        <v>70</v>
      </c>
      <c r="H61">
        <v>1960</v>
      </c>
      <c r="I61" s="37" t="str">
        <f>VLOOKUP(A61,MCompany[],2,FALSE)</f>
        <v>Lucas Basics</v>
      </c>
      <c r="J61" t="str">
        <f>VLOOKUP(TableTemp2[[#This Row],[Customer Code]],MCustomer[],2,FALSE)</f>
        <v>Liebher</v>
      </c>
      <c r="K61" t="str">
        <f>VLOOKUP(TableTemp2[[#This Row],[Article code]],MArticle[],2,FALSE)</f>
        <v>Laptop bag red</v>
      </c>
      <c r="L61" t="str">
        <f>VLOOKUP(TableTemp2[[#This Row],[Company]],MCompany[],3,FALSE)</f>
        <v>EUR</v>
      </c>
      <c r="M61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  <c r="AE61" s="26" t="s">
        <v>94</v>
      </c>
      <c r="AF61">
        <v>657530</v>
      </c>
      <c r="AG61">
        <v>27990</v>
      </c>
    </row>
    <row r="62" spans="1:33" x14ac:dyDescent="0.3">
      <c r="A62" s="4" t="s">
        <v>26</v>
      </c>
      <c r="B62">
        <v>44031</v>
      </c>
      <c r="C62" s="24">
        <v>43381</v>
      </c>
      <c r="D62">
        <v>8050</v>
      </c>
      <c r="E62">
        <v>108</v>
      </c>
      <c r="F62" t="s">
        <v>89</v>
      </c>
      <c r="G62">
        <v>60</v>
      </c>
      <c r="H62">
        <v>1680</v>
      </c>
      <c r="I62" s="37" t="str">
        <f>VLOOKUP(A62,MCompany[],2,FALSE)</f>
        <v>Lucas Basics</v>
      </c>
      <c r="J62" t="str">
        <f>VLOOKUP(TableTemp2[[#This Row],[Customer Code]],MCustomer[],2,FALSE)</f>
        <v>Aida GmbH</v>
      </c>
      <c r="K62" t="str">
        <f>VLOOKUP(TableTemp2[[#This Row],[Article code]],MArticle[],2,FALSE)</f>
        <v>Laptop bag black</v>
      </c>
      <c r="L62" t="str">
        <f>VLOOKUP(TableTemp2[[#This Row],[Company]],MCompany[],3,FALSE)</f>
        <v>EUR</v>
      </c>
      <c r="M62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63" spans="1:33" x14ac:dyDescent="0.3">
      <c r="A63" s="4" t="s">
        <v>26</v>
      </c>
      <c r="B63">
        <v>44031</v>
      </c>
      <c r="C63" s="24">
        <v>43381</v>
      </c>
      <c r="D63">
        <v>8050</v>
      </c>
      <c r="E63">
        <v>109</v>
      </c>
      <c r="F63" t="s">
        <v>89</v>
      </c>
      <c r="G63">
        <v>50</v>
      </c>
      <c r="H63">
        <v>1400</v>
      </c>
      <c r="I63" s="37" t="str">
        <f>VLOOKUP(A63,MCompany[],2,FALSE)</f>
        <v>Lucas Basics</v>
      </c>
      <c r="J63" t="str">
        <f>VLOOKUP(TableTemp2[[#This Row],[Customer Code]],MCustomer[],2,FALSE)</f>
        <v>Aida GmbH</v>
      </c>
      <c r="K63" t="str">
        <f>VLOOKUP(TableTemp2[[#This Row],[Article code]],MArticle[],2,FALSE)</f>
        <v>Laptop bag red</v>
      </c>
      <c r="L63" t="str">
        <f>VLOOKUP(TableTemp2[[#This Row],[Company]],MCompany[],3,FALSE)</f>
        <v>EUR</v>
      </c>
      <c r="M63" s="38">
        <f>IF(TableTemp2[[#This Row],[Currency]]="EUR",ROUND(VLOOKUP(MONTH(TableTemp2[[#This Row],[Document Date]]),MExchange[],2,FALSE)*TableTemp2[[#This Row],[Sales Local Currency]],2),ROUND(TableTemp2[[#This Row],[Sales Local Currency]],2))</f>
        <v>1644.91</v>
      </c>
    </row>
    <row r="64" spans="1:33" x14ac:dyDescent="0.3">
      <c r="A64" s="4" t="s">
        <v>26</v>
      </c>
      <c r="B64">
        <v>44031</v>
      </c>
      <c r="C64" s="24">
        <v>43381</v>
      </c>
      <c r="D64">
        <v>8050</v>
      </c>
      <c r="E64">
        <v>110</v>
      </c>
      <c r="F64" t="s">
        <v>89</v>
      </c>
      <c r="G64">
        <v>60</v>
      </c>
      <c r="H64">
        <v>3600</v>
      </c>
      <c r="I64" s="37" t="str">
        <f>VLOOKUP(A64,MCompany[],2,FALSE)</f>
        <v>Lucas Basics</v>
      </c>
      <c r="J64" t="str">
        <f>VLOOKUP(TableTemp2[[#This Row],[Customer Code]],MCustomer[],2,FALSE)</f>
        <v>Aida GmbH</v>
      </c>
      <c r="K64" t="str">
        <f>VLOOKUP(TableTemp2[[#This Row],[Article code]],MArticle[],2,FALSE)</f>
        <v>Smartphone case diamond</v>
      </c>
      <c r="L64" t="str">
        <f>VLOOKUP(TableTemp2[[#This Row],[Company]],MCompany[],3,FALSE)</f>
        <v>EUR</v>
      </c>
      <c r="M64" s="38">
        <f>IF(TableTemp2[[#This Row],[Currency]]="EUR",ROUND(VLOOKUP(MONTH(TableTemp2[[#This Row],[Document Date]]),MExchange[],2,FALSE)*TableTemp2[[#This Row],[Sales Local Currency]],2),ROUND(TableTemp2[[#This Row],[Sales Local Currency]],2))</f>
        <v>4229.78</v>
      </c>
    </row>
    <row r="65" spans="1:13" x14ac:dyDescent="0.3">
      <c r="A65" s="4" t="s">
        <v>26</v>
      </c>
      <c r="B65">
        <v>48112</v>
      </c>
      <c r="C65" s="24">
        <v>43384</v>
      </c>
      <c r="D65">
        <v>8060</v>
      </c>
      <c r="E65">
        <v>109</v>
      </c>
      <c r="G65">
        <v>60</v>
      </c>
      <c r="H65">
        <v>1680</v>
      </c>
      <c r="I65" s="37" t="str">
        <f>VLOOKUP(A65,MCompany[],2,FALSE)</f>
        <v>Lucas Basics</v>
      </c>
      <c r="J65" t="str">
        <f>VLOOKUP(TableTemp2[[#This Row],[Customer Code]],MCustomer[],2,FALSE)</f>
        <v>Liebher</v>
      </c>
      <c r="K65" t="str">
        <f>VLOOKUP(TableTemp2[[#This Row],[Article code]],MArticle[],2,FALSE)</f>
        <v>Laptop bag red</v>
      </c>
      <c r="L65" t="str">
        <f>VLOOKUP(TableTemp2[[#This Row],[Company]],MCompany[],3,FALSE)</f>
        <v>EUR</v>
      </c>
      <c r="M65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66" spans="1:13" x14ac:dyDescent="0.3">
      <c r="A66" s="4" t="s">
        <v>26</v>
      </c>
      <c r="B66">
        <v>48112</v>
      </c>
      <c r="C66" s="24">
        <v>43384</v>
      </c>
      <c r="D66">
        <v>8060</v>
      </c>
      <c r="E66">
        <v>110</v>
      </c>
      <c r="F66" t="s">
        <v>89</v>
      </c>
      <c r="G66">
        <v>50</v>
      </c>
      <c r="H66">
        <v>3000</v>
      </c>
      <c r="I66" s="37" t="str">
        <f>VLOOKUP(A66,MCompany[],2,FALSE)</f>
        <v>Lucas Basics</v>
      </c>
      <c r="J66" t="str">
        <f>VLOOKUP(TableTemp2[[#This Row],[Customer Code]],MCustomer[],2,FALSE)</f>
        <v>Liebher</v>
      </c>
      <c r="K66" t="str">
        <f>VLOOKUP(TableTemp2[[#This Row],[Article code]],MArticle[],2,FALSE)</f>
        <v>Smartphone case diamond</v>
      </c>
      <c r="L66" t="str">
        <f>VLOOKUP(TableTemp2[[#This Row],[Company]],MCompany[],3,FALSE)</f>
        <v>EUR</v>
      </c>
      <c r="M66" s="38">
        <f>IF(TableTemp2[[#This Row],[Currency]]="EUR",ROUND(VLOOKUP(MONTH(TableTemp2[[#This Row],[Document Date]]),MExchange[],2,FALSE)*TableTemp2[[#This Row],[Sales Local Currency]],2),ROUND(TableTemp2[[#This Row],[Sales Local Currency]],2))</f>
        <v>3524.82</v>
      </c>
    </row>
    <row r="67" spans="1:13" x14ac:dyDescent="0.3">
      <c r="A67" s="4" t="s">
        <v>26</v>
      </c>
      <c r="B67">
        <v>48114</v>
      </c>
      <c r="C67" s="24">
        <v>43384</v>
      </c>
      <c r="D67">
        <v>8050</v>
      </c>
      <c r="E67">
        <v>109</v>
      </c>
      <c r="G67">
        <v>60</v>
      </c>
      <c r="H67">
        <v>1680</v>
      </c>
      <c r="I67" s="37" t="str">
        <f>VLOOKUP(A67,MCompany[],2,FALSE)</f>
        <v>Lucas Basics</v>
      </c>
      <c r="J67" t="str">
        <f>VLOOKUP(TableTemp2[[#This Row],[Customer Code]],MCustomer[],2,FALSE)</f>
        <v>Aida GmbH</v>
      </c>
      <c r="K67" t="str">
        <f>VLOOKUP(TableTemp2[[#This Row],[Article code]],MArticle[],2,FALSE)</f>
        <v>Laptop bag red</v>
      </c>
      <c r="L67" t="str">
        <f>VLOOKUP(TableTemp2[[#This Row],[Company]],MCompany[],3,FALSE)</f>
        <v>EUR</v>
      </c>
      <c r="M67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68" spans="1:13" x14ac:dyDescent="0.3">
      <c r="A68" s="4" t="s">
        <v>26</v>
      </c>
      <c r="B68">
        <v>48114</v>
      </c>
      <c r="C68" s="24">
        <v>43384</v>
      </c>
      <c r="D68">
        <v>8050</v>
      </c>
      <c r="E68">
        <v>110</v>
      </c>
      <c r="G68">
        <v>60</v>
      </c>
      <c r="H68">
        <v>3600</v>
      </c>
      <c r="I68" s="37" t="str">
        <f>VLOOKUP(A68,MCompany[],2,FALSE)</f>
        <v>Lucas Basics</v>
      </c>
      <c r="J68" t="str">
        <f>VLOOKUP(TableTemp2[[#This Row],[Customer Code]],MCustomer[],2,FALSE)</f>
        <v>Aida GmbH</v>
      </c>
      <c r="K68" t="str">
        <f>VLOOKUP(TableTemp2[[#This Row],[Article code]],MArticle[],2,FALSE)</f>
        <v>Smartphone case diamond</v>
      </c>
      <c r="L68" t="str">
        <f>VLOOKUP(TableTemp2[[#This Row],[Company]],MCompany[],3,FALSE)</f>
        <v>EUR</v>
      </c>
      <c r="M68" s="38">
        <f>IF(TableTemp2[[#This Row],[Currency]]="EUR",ROUND(VLOOKUP(MONTH(TableTemp2[[#This Row],[Document Date]]),MExchange[],2,FALSE)*TableTemp2[[#This Row],[Sales Local Currency]],2),ROUND(TableTemp2[[#This Row],[Sales Local Currency]],2))</f>
        <v>4229.78</v>
      </c>
    </row>
    <row r="69" spans="1:13" x14ac:dyDescent="0.3">
      <c r="A69" s="4" t="s">
        <v>26</v>
      </c>
      <c r="B69">
        <v>48114</v>
      </c>
      <c r="C69" s="24">
        <v>43384</v>
      </c>
      <c r="D69">
        <v>8050</v>
      </c>
      <c r="E69">
        <v>111</v>
      </c>
      <c r="G69">
        <v>80</v>
      </c>
      <c r="H69">
        <v>1600</v>
      </c>
      <c r="I69" s="37" t="str">
        <f>VLOOKUP(A69,MCompany[],2,FALSE)</f>
        <v>Lucas Basics</v>
      </c>
      <c r="J69" t="str">
        <f>VLOOKUP(TableTemp2[[#This Row],[Customer Code]],MCustomer[],2,FALSE)</f>
        <v>Aida GmbH</v>
      </c>
      <c r="K69" t="str">
        <f>VLOOKUP(TableTemp2[[#This Row],[Article code]],MArticle[],2,FALSE)</f>
        <v>Smartphone case simple</v>
      </c>
      <c r="L69" t="str">
        <f>VLOOKUP(TableTemp2[[#This Row],[Company]],MCompany[],3,FALSE)</f>
        <v>EUR</v>
      </c>
      <c r="M69" s="38">
        <f>IF(TableTemp2[[#This Row],[Currency]]="EUR",ROUND(VLOOKUP(MONTH(TableTemp2[[#This Row],[Document Date]]),MExchange[],2,FALSE)*TableTemp2[[#This Row],[Sales Local Currency]],2),ROUND(TableTemp2[[#This Row],[Sales Local Currency]],2))</f>
        <v>1879.9</v>
      </c>
    </row>
    <row r="70" spans="1:13" x14ac:dyDescent="0.3">
      <c r="A70" s="4" t="s">
        <v>26</v>
      </c>
      <c r="B70">
        <v>48116</v>
      </c>
      <c r="C70" s="24">
        <v>43384</v>
      </c>
      <c r="D70">
        <v>8060</v>
      </c>
      <c r="E70">
        <v>109</v>
      </c>
      <c r="G70">
        <v>60</v>
      </c>
      <c r="H70">
        <v>1680</v>
      </c>
      <c r="I70" s="37" t="str">
        <f>VLOOKUP(A70,MCompany[],2,FALSE)</f>
        <v>Lucas Basics</v>
      </c>
      <c r="J70" t="str">
        <f>VLOOKUP(TableTemp2[[#This Row],[Customer Code]],MCustomer[],2,FALSE)</f>
        <v>Liebher</v>
      </c>
      <c r="K70" t="str">
        <f>VLOOKUP(TableTemp2[[#This Row],[Article code]],MArticle[],2,FALSE)</f>
        <v>Laptop bag red</v>
      </c>
      <c r="L70" t="str">
        <f>VLOOKUP(TableTemp2[[#This Row],[Company]],MCompany[],3,FALSE)</f>
        <v>EUR</v>
      </c>
      <c r="M70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71" spans="1:13" x14ac:dyDescent="0.3">
      <c r="A71" s="4" t="s">
        <v>26</v>
      </c>
      <c r="B71">
        <v>48116</v>
      </c>
      <c r="C71" s="24">
        <v>43384</v>
      </c>
      <c r="D71">
        <v>8060</v>
      </c>
      <c r="E71">
        <v>110</v>
      </c>
      <c r="G71">
        <v>60</v>
      </c>
      <c r="H71">
        <v>3600</v>
      </c>
      <c r="I71" s="37" t="str">
        <f>VLOOKUP(A71,MCompany[],2,FALSE)</f>
        <v>Lucas Basics</v>
      </c>
      <c r="J71" t="str">
        <f>VLOOKUP(TableTemp2[[#This Row],[Customer Code]],MCustomer[],2,FALSE)</f>
        <v>Liebher</v>
      </c>
      <c r="K71" t="str">
        <f>VLOOKUP(TableTemp2[[#This Row],[Article code]],MArticle[],2,FALSE)</f>
        <v>Smartphone case diamond</v>
      </c>
      <c r="L71" t="str">
        <f>VLOOKUP(TableTemp2[[#This Row],[Company]],MCompany[],3,FALSE)</f>
        <v>EUR</v>
      </c>
      <c r="M71" s="38">
        <f>IF(TableTemp2[[#This Row],[Currency]]="EUR",ROUND(VLOOKUP(MONTH(TableTemp2[[#This Row],[Document Date]]),MExchange[],2,FALSE)*TableTemp2[[#This Row],[Sales Local Currency]],2),ROUND(TableTemp2[[#This Row],[Sales Local Currency]],2))</f>
        <v>4229.78</v>
      </c>
    </row>
    <row r="72" spans="1:13" x14ac:dyDescent="0.3">
      <c r="A72" s="4" t="s">
        <v>26</v>
      </c>
      <c r="B72">
        <v>45442</v>
      </c>
      <c r="C72" s="24">
        <v>43388</v>
      </c>
      <c r="D72">
        <v>8050</v>
      </c>
      <c r="E72">
        <v>108</v>
      </c>
      <c r="G72">
        <v>50</v>
      </c>
      <c r="H72">
        <v>1400</v>
      </c>
      <c r="I72" s="37" t="str">
        <f>VLOOKUP(A72,MCompany[],2,FALSE)</f>
        <v>Lucas Basics</v>
      </c>
      <c r="J72" t="str">
        <f>VLOOKUP(TableTemp2[[#This Row],[Customer Code]],MCustomer[],2,FALSE)</f>
        <v>Aida GmbH</v>
      </c>
      <c r="K72" t="str">
        <f>VLOOKUP(TableTemp2[[#This Row],[Article code]],MArticle[],2,FALSE)</f>
        <v>Laptop bag black</v>
      </c>
      <c r="L72" t="str">
        <f>VLOOKUP(TableTemp2[[#This Row],[Company]],MCompany[],3,FALSE)</f>
        <v>EUR</v>
      </c>
      <c r="M72" s="38">
        <f>IF(TableTemp2[[#This Row],[Currency]]="EUR",ROUND(VLOOKUP(MONTH(TableTemp2[[#This Row],[Document Date]]),MExchange[],2,FALSE)*TableTemp2[[#This Row],[Sales Local Currency]],2),ROUND(TableTemp2[[#This Row],[Sales Local Currency]],2))</f>
        <v>1644.91</v>
      </c>
    </row>
    <row r="73" spans="1:13" x14ac:dyDescent="0.3">
      <c r="A73" s="4" t="s">
        <v>26</v>
      </c>
      <c r="B73">
        <v>45442</v>
      </c>
      <c r="C73" s="24">
        <v>43388</v>
      </c>
      <c r="D73">
        <v>8050</v>
      </c>
      <c r="E73">
        <v>109</v>
      </c>
      <c r="F73">
        <v>1</v>
      </c>
      <c r="G73">
        <v>60</v>
      </c>
      <c r="H73">
        <v>1680</v>
      </c>
      <c r="I73" s="37" t="str">
        <f>VLOOKUP(A73,MCompany[],2,FALSE)</f>
        <v>Lucas Basics</v>
      </c>
      <c r="J73" t="str">
        <f>VLOOKUP(TableTemp2[[#This Row],[Customer Code]],MCustomer[],2,FALSE)</f>
        <v>Aida GmbH</v>
      </c>
      <c r="K73" t="str">
        <f>VLOOKUP(TableTemp2[[#This Row],[Article code]],MArticle[],2,FALSE)</f>
        <v>Laptop bag red</v>
      </c>
      <c r="L73" t="str">
        <f>VLOOKUP(TableTemp2[[#This Row],[Company]],MCompany[],3,FALSE)</f>
        <v>EUR</v>
      </c>
      <c r="M73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74" spans="1:13" x14ac:dyDescent="0.3">
      <c r="A74" s="4" t="s">
        <v>26</v>
      </c>
      <c r="B74">
        <v>45444</v>
      </c>
      <c r="C74" s="24">
        <v>43388</v>
      </c>
      <c r="D74">
        <v>8060</v>
      </c>
      <c r="E74">
        <v>108</v>
      </c>
      <c r="G74">
        <v>60</v>
      </c>
      <c r="H74">
        <v>1680</v>
      </c>
      <c r="I74" s="37" t="str">
        <f>VLOOKUP(A74,MCompany[],2,FALSE)</f>
        <v>Lucas Basics</v>
      </c>
      <c r="J74" t="str">
        <f>VLOOKUP(TableTemp2[[#This Row],[Customer Code]],MCustomer[],2,FALSE)</f>
        <v>Liebher</v>
      </c>
      <c r="K74" t="str">
        <f>VLOOKUP(TableTemp2[[#This Row],[Article code]],MArticle[],2,FALSE)</f>
        <v>Laptop bag black</v>
      </c>
      <c r="L74" t="str">
        <f>VLOOKUP(TableTemp2[[#This Row],[Company]],MCompany[],3,FALSE)</f>
        <v>EUR</v>
      </c>
      <c r="M74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75" spans="1:13" x14ac:dyDescent="0.3">
      <c r="A75" s="4" t="s">
        <v>26</v>
      </c>
      <c r="B75">
        <v>45444</v>
      </c>
      <c r="C75" s="24">
        <v>43388</v>
      </c>
      <c r="D75">
        <v>8060</v>
      </c>
      <c r="E75">
        <v>109</v>
      </c>
      <c r="G75">
        <v>70</v>
      </c>
      <c r="H75">
        <v>1960</v>
      </c>
      <c r="I75" s="37" t="str">
        <f>VLOOKUP(A75,MCompany[],2,FALSE)</f>
        <v>Lucas Basics</v>
      </c>
      <c r="J75" t="str">
        <f>VLOOKUP(TableTemp2[[#This Row],[Customer Code]],MCustomer[],2,FALSE)</f>
        <v>Liebher</v>
      </c>
      <c r="K75" t="str">
        <f>VLOOKUP(TableTemp2[[#This Row],[Article code]],MArticle[],2,FALSE)</f>
        <v>Laptop bag red</v>
      </c>
      <c r="L75" t="str">
        <f>VLOOKUP(TableTemp2[[#This Row],[Company]],MCompany[],3,FALSE)</f>
        <v>EUR</v>
      </c>
      <c r="M75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</row>
    <row r="76" spans="1:13" x14ac:dyDescent="0.3">
      <c r="A76" s="4" t="s">
        <v>26</v>
      </c>
      <c r="B76">
        <v>45444</v>
      </c>
      <c r="C76" s="24">
        <v>43388</v>
      </c>
      <c r="D76">
        <v>8060</v>
      </c>
      <c r="E76">
        <v>110</v>
      </c>
      <c r="G76">
        <v>60</v>
      </c>
      <c r="H76">
        <v>3600</v>
      </c>
      <c r="I76" s="37" t="str">
        <f>VLOOKUP(A76,MCompany[],2,FALSE)</f>
        <v>Lucas Basics</v>
      </c>
      <c r="J76" t="str">
        <f>VLOOKUP(TableTemp2[[#This Row],[Customer Code]],MCustomer[],2,FALSE)</f>
        <v>Liebher</v>
      </c>
      <c r="K76" t="str">
        <f>VLOOKUP(TableTemp2[[#This Row],[Article code]],MArticle[],2,FALSE)</f>
        <v>Smartphone case diamond</v>
      </c>
      <c r="L76" t="str">
        <f>VLOOKUP(TableTemp2[[#This Row],[Company]],MCompany[],3,FALSE)</f>
        <v>EUR</v>
      </c>
      <c r="M76" s="38">
        <f>IF(TableTemp2[[#This Row],[Currency]]="EUR",ROUND(VLOOKUP(MONTH(TableTemp2[[#This Row],[Document Date]]),MExchange[],2,FALSE)*TableTemp2[[#This Row],[Sales Local Currency]],2),ROUND(TableTemp2[[#This Row],[Sales Local Currency]],2))</f>
        <v>4229.78</v>
      </c>
    </row>
    <row r="77" spans="1:13" x14ac:dyDescent="0.3">
      <c r="A77" s="4" t="s">
        <v>26</v>
      </c>
      <c r="B77">
        <v>45446</v>
      </c>
      <c r="C77" s="24">
        <v>43388</v>
      </c>
      <c r="D77">
        <v>8050</v>
      </c>
      <c r="E77">
        <v>111</v>
      </c>
      <c r="G77">
        <v>80</v>
      </c>
      <c r="H77">
        <v>1600</v>
      </c>
      <c r="I77" s="37" t="str">
        <f>VLOOKUP(A77,MCompany[],2,FALSE)</f>
        <v>Lucas Basics</v>
      </c>
      <c r="J77" t="str">
        <f>VLOOKUP(TableTemp2[[#This Row],[Customer Code]],MCustomer[],2,FALSE)</f>
        <v>Aida GmbH</v>
      </c>
      <c r="K77" t="str">
        <f>VLOOKUP(TableTemp2[[#This Row],[Article code]],MArticle[],2,FALSE)</f>
        <v>Smartphone case simple</v>
      </c>
      <c r="L77" t="str">
        <f>VLOOKUP(TableTemp2[[#This Row],[Company]],MCompany[],3,FALSE)</f>
        <v>EUR</v>
      </c>
      <c r="M77" s="38">
        <f>IF(TableTemp2[[#This Row],[Currency]]="EUR",ROUND(VLOOKUP(MONTH(TableTemp2[[#This Row],[Document Date]]),MExchange[],2,FALSE)*TableTemp2[[#This Row],[Sales Local Currency]],2),ROUND(TableTemp2[[#This Row],[Sales Local Currency]],2))</f>
        <v>1879.9</v>
      </c>
    </row>
    <row r="78" spans="1:13" x14ac:dyDescent="0.3">
      <c r="A78" s="4" t="s">
        <v>26</v>
      </c>
      <c r="B78">
        <v>45446</v>
      </c>
      <c r="C78" s="24">
        <v>43388</v>
      </c>
      <c r="D78">
        <v>8050</v>
      </c>
      <c r="E78">
        <v>108</v>
      </c>
      <c r="G78">
        <v>50</v>
      </c>
      <c r="H78">
        <v>1400</v>
      </c>
      <c r="I78" s="37" t="str">
        <f>VLOOKUP(A78,MCompany[],2,FALSE)</f>
        <v>Lucas Basics</v>
      </c>
      <c r="J78" t="str">
        <f>VLOOKUP(TableTemp2[[#This Row],[Customer Code]],MCustomer[],2,FALSE)</f>
        <v>Aida GmbH</v>
      </c>
      <c r="K78" t="str">
        <f>VLOOKUP(TableTemp2[[#This Row],[Article code]],MArticle[],2,FALSE)</f>
        <v>Laptop bag black</v>
      </c>
      <c r="L78" t="str">
        <f>VLOOKUP(TableTemp2[[#This Row],[Company]],MCompany[],3,FALSE)</f>
        <v>EUR</v>
      </c>
      <c r="M78" s="38">
        <f>IF(TableTemp2[[#This Row],[Currency]]="EUR",ROUND(VLOOKUP(MONTH(TableTemp2[[#This Row],[Document Date]]),MExchange[],2,FALSE)*TableTemp2[[#This Row],[Sales Local Currency]],2),ROUND(TableTemp2[[#This Row],[Sales Local Currency]],2))</f>
        <v>1644.91</v>
      </c>
    </row>
    <row r="79" spans="1:13" x14ac:dyDescent="0.3">
      <c r="A79" s="4" t="s">
        <v>26</v>
      </c>
      <c r="B79">
        <v>44015</v>
      </c>
      <c r="C79" s="24">
        <v>43383</v>
      </c>
      <c r="D79">
        <v>8060</v>
      </c>
      <c r="E79">
        <v>108</v>
      </c>
      <c r="G79">
        <v>60</v>
      </c>
      <c r="H79">
        <v>1680</v>
      </c>
      <c r="I79" s="37" t="str">
        <f>VLOOKUP(A79,MCompany[],2,FALSE)</f>
        <v>Lucas Basics</v>
      </c>
      <c r="J79" t="str">
        <f>VLOOKUP(TableTemp2[[#This Row],[Customer Code]],MCustomer[],2,FALSE)</f>
        <v>Liebher</v>
      </c>
      <c r="K79" t="str">
        <f>VLOOKUP(TableTemp2[[#This Row],[Article code]],MArticle[],2,FALSE)</f>
        <v>Laptop bag black</v>
      </c>
      <c r="L79" t="str">
        <f>VLOOKUP(TableTemp2[[#This Row],[Company]],MCompany[],3,FALSE)</f>
        <v>EUR</v>
      </c>
      <c r="M79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80" spans="1:13" x14ac:dyDescent="0.3">
      <c r="A80" s="4" t="s">
        <v>26</v>
      </c>
      <c r="B80">
        <v>44015</v>
      </c>
      <c r="C80" s="24">
        <v>43383</v>
      </c>
      <c r="D80">
        <v>8060</v>
      </c>
      <c r="E80">
        <v>109</v>
      </c>
      <c r="G80">
        <v>70</v>
      </c>
      <c r="H80">
        <v>1960</v>
      </c>
      <c r="I80" s="37" t="str">
        <f>VLOOKUP(A80,MCompany[],2,FALSE)</f>
        <v>Lucas Basics</v>
      </c>
      <c r="J80" t="str">
        <f>VLOOKUP(TableTemp2[[#This Row],[Customer Code]],MCustomer[],2,FALSE)</f>
        <v>Liebher</v>
      </c>
      <c r="K80" t="str">
        <f>VLOOKUP(TableTemp2[[#This Row],[Article code]],MArticle[],2,FALSE)</f>
        <v>Laptop bag red</v>
      </c>
      <c r="L80" t="str">
        <f>VLOOKUP(TableTemp2[[#This Row],[Company]],MCompany[],3,FALSE)</f>
        <v>EUR</v>
      </c>
      <c r="M80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</row>
    <row r="81" spans="1:13" x14ac:dyDescent="0.3">
      <c r="A81" s="4" t="s">
        <v>26</v>
      </c>
      <c r="B81">
        <v>44017</v>
      </c>
      <c r="C81" s="24">
        <v>43386</v>
      </c>
      <c r="D81">
        <v>8060</v>
      </c>
      <c r="E81">
        <v>108</v>
      </c>
      <c r="G81">
        <v>70</v>
      </c>
      <c r="H81">
        <v>1960</v>
      </c>
      <c r="I81" s="37" t="str">
        <f>VLOOKUP(A81,MCompany[],2,FALSE)</f>
        <v>Lucas Basics</v>
      </c>
      <c r="J81" t="str">
        <f>VLOOKUP(TableTemp2[[#This Row],[Customer Code]],MCustomer[],2,FALSE)</f>
        <v>Liebher</v>
      </c>
      <c r="K81" t="str">
        <f>VLOOKUP(TableTemp2[[#This Row],[Article code]],MArticle[],2,FALSE)</f>
        <v>Laptop bag black</v>
      </c>
      <c r="L81" t="str">
        <f>VLOOKUP(TableTemp2[[#This Row],[Company]],MCompany[],3,FALSE)</f>
        <v>EUR</v>
      </c>
      <c r="M81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</row>
    <row r="82" spans="1:13" x14ac:dyDescent="0.3">
      <c r="A82" s="4" t="s">
        <v>26</v>
      </c>
      <c r="B82">
        <v>44017</v>
      </c>
      <c r="C82" s="24">
        <v>43386</v>
      </c>
      <c r="D82">
        <v>8060</v>
      </c>
      <c r="E82">
        <v>109</v>
      </c>
      <c r="G82">
        <v>70</v>
      </c>
      <c r="H82">
        <v>1960</v>
      </c>
      <c r="I82" s="37" t="str">
        <f>VLOOKUP(A82,MCompany[],2,FALSE)</f>
        <v>Lucas Basics</v>
      </c>
      <c r="J82" t="str">
        <f>VLOOKUP(TableTemp2[[#This Row],[Customer Code]],MCustomer[],2,FALSE)</f>
        <v>Liebher</v>
      </c>
      <c r="K82" t="str">
        <f>VLOOKUP(TableTemp2[[#This Row],[Article code]],MArticle[],2,FALSE)</f>
        <v>Laptop bag red</v>
      </c>
      <c r="L82" t="str">
        <f>VLOOKUP(TableTemp2[[#This Row],[Company]],MCompany[],3,FALSE)</f>
        <v>EUR</v>
      </c>
      <c r="M82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</row>
    <row r="83" spans="1:13" x14ac:dyDescent="0.3">
      <c r="A83" s="4" t="s">
        <v>26</v>
      </c>
      <c r="B83">
        <v>44016</v>
      </c>
      <c r="C83" s="24">
        <v>43387</v>
      </c>
      <c r="D83">
        <v>8050</v>
      </c>
      <c r="E83">
        <v>108</v>
      </c>
      <c r="G83">
        <v>70</v>
      </c>
      <c r="H83">
        <v>1960</v>
      </c>
      <c r="I83" s="37" t="str">
        <f>VLOOKUP(A83,MCompany[],2,FALSE)</f>
        <v>Lucas Basics</v>
      </c>
      <c r="J83" t="str">
        <f>VLOOKUP(TableTemp2[[#This Row],[Customer Code]],MCustomer[],2,FALSE)</f>
        <v>Aida GmbH</v>
      </c>
      <c r="K83" t="str">
        <f>VLOOKUP(TableTemp2[[#This Row],[Article code]],MArticle[],2,FALSE)</f>
        <v>Laptop bag black</v>
      </c>
      <c r="L83" t="str">
        <f>VLOOKUP(TableTemp2[[#This Row],[Company]],MCompany[],3,FALSE)</f>
        <v>EUR</v>
      </c>
      <c r="M83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</row>
    <row r="84" spans="1:13" x14ac:dyDescent="0.3">
      <c r="A84" s="4" t="s">
        <v>26</v>
      </c>
      <c r="B84">
        <v>44016</v>
      </c>
      <c r="C84" s="24">
        <v>43387</v>
      </c>
      <c r="D84">
        <v>8050</v>
      </c>
      <c r="E84">
        <v>109</v>
      </c>
      <c r="F84">
        <v>1</v>
      </c>
      <c r="G84">
        <v>60</v>
      </c>
      <c r="H84">
        <v>1680</v>
      </c>
      <c r="I84" s="37" t="str">
        <f>VLOOKUP(A84,MCompany[],2,FALSE)</f>
        <v>Lucas Basics</v>
      </c>
      <c r="J84" t="str">
        <f>VLOOKUP(TableTemp2[[#This Row],[Customer Code]],MCustomer[],2,FALSE)</f>
        <v>Aida GmbH</v>
      </c>
      <c r="K84" t="str">
        <f>VLOOKUP(TableTemp2[[#This Row],[Article code]],MArticle[],2,FALSE)</f>
        <v>Laptop bag red</v>
      </c>
      <c r="L84" t="str">
        <f>VLOOKUP(TableTemp2[[#This Row],[Company]],MCompany[],3,FALSE)</f>
        <v>EUR</v>
      </c>
      <c r="M84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85" spans="1:13" x14ac:dyDescent="0.3">
      <c r="A85" s="4" t="s">
        <v>26</v>
      </c>
      <c r="B85">
        <v>44016</v>
      </c>
      <c r="C85" s="24">
        <v>43387</v>
      </c>
      <c r="D85">
        <v>8050</v>
      </c>
      <c r="E85">
        <v>110</v>
      </c>
      <c r="G85">
        <v>50</v>
      </c>
      <c r="H85">
        <v>3000</v>
      </c>
      <c r="I85" s="37" t="str">
        <f>VLOOKUP(A85,MCompany[],2,FALSE)</f>
        <v>Lucas Basics</v>
      </c>
      <c r="J85" t="str">
        <f>VLOOKUP(TableTemp2[[#This Row],[Customer Code]],MCustomer[],2,FALSE)</f>
        <v>Aida GmbH</v>
      </c>
      <c r="K85" t="str">
        <f>VLOOKUP(TableTemp2[[#This Row],[Article code]],MArticle[],2,FALSE)</f>
        <v>Smartphone case diamond</v>
      </c>
      <c r="L85" t="str">
        <f>VLOOKUP(TableTemp2[[#This Row],[Company]],MCompany[],3,FALSE)</f>
        <v>EUR</v>
      </c>
      <c r="M85" s="38">
        <f>IF(TableTemp2[[#This Row],[Currency]]="EUR",ROUND(VLOOKUP(MONTH(TableTemp2[[#This Row],[Document Date]]),MExchange[],2,FALSE)*TableTemp2[[#This Row],[Sales Local Currency]],2),ROUND(TableTemp2[[#This Row],[Sales Local Currency]],2))</f>
        <v>3524.82</v>
      </c>
    </row>
    <row r="86" spans="1:13" x14ac:dyDescent="0.3">
      <c r="A86" s="4" t="s">
        <v>26</v>
      </c>
      <c r="B86">
        <v>48097</v>
      </c>
      <c r="C86" s="24">
        <v>43390</v>
      </c>
      <c r="D86">
        <v>8060</v>
      </c>
      <c r="E86">
        <v>109</v>
      </c>
      <c r="G86">
        <v>60</v>
      </c>
      <c r="H86">
        <v>1680</v>
      </c>
      <c r="I86" s="37" t="str">
        <f>VLOOKUP(A86,MCompany[],2,FALSE)</f>
        <v>Lucas Basics</v>
      </c>
      <c r="J86" t="str">
        <f>VLOOKUP(TableTemp2[[#This Row],[Customer Code]],MCustomer[],2,FALSE)</f>
        <v>Liebher</v>
      </c>
      <c r="K86" t="str">
        <f>VLOOKUP(TableTemp2[[#This Row],[Article code]],MArticle[],2,FALSE)</f>
        <v>Laptop bag red</v>
      </c>
      <c r="L86" t="str">
        <f>VLOOKUP(TableTemp2[[#This Row],[Company]],MCompany[],3,FALSE)</f>
        <v>EUR</v>
      </c>
      <c r="M86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87" spans="1:13" x14ac:dyDescent="0.3">
      <c r="A87" s="4" t="s">
        <v>26</v>
      </c>
      <c r="B87">
        <v>48097</v>
      </c>
      <c r="C87" s="24">
        <v>43390</v>
      </c>
      <c r="D87">
        <v>8060</v>
      </c>
      <c r="E87">
        <v>110</v>
      </c>
      <c r="G87">
        <v>70</v>
      </c>
      <c r="H87">
        <v>4200</v>
      </c>
      <c r="I87" s="37" t="str">
        <f>VLOOKUP(A87,MCompany[],2,FALSE)</f>
        <v>Lucas Basics</v>
      </c>
      <c r="J87" t="str">
        <f>VLOOKUP(TableTemp2[[#This Row],[Customer Code]],MCustomer[],2,FALSE)</f>
        <v>Liebher</v>
      </c>
      <c r="K87" t="str">
        <f>VLOOKUP(TableTemp2[[#This Row],[Article code]],MArticle[],2,FALSE)</f>
        <v>Smartphone case diamond</v>
      </c>
      <c r="L87" t="str">
        <f>VLOOKUP(TableTemp2[[#This Row],[Company]],MCompany[],3,FALSE)</f>
        <v>EUR</v>
      </c>
      <c r="M87" s="38">
        <f>IF(TableTemp2[[#This Row],[Currency]]="EUR",ROUND(VLOOKUP(MONTH(TableTemp2[[#This Row],[Document Date]]),MExchange[],2,FALSE)*TableTemp2[[#This Row],[Sales Local Currency]],2),ROUND(TableTemp2[[#This Row],[Sales Local Currency]],2))</f>
        <v>4934.74</v>
      </c>
    </row>
    <row r="88" spans="1:13" x14ac:dyDescent="0.3">
      <c r="A88" s="4" t="s">
        <v>26</v>
      </c>
      <c r="B88">
        <v>48099</v>
      </c>
      <c r="C88" s="24">
        <v>43390</v>
      </c>
      <c r="D88">
        <v>8050</v>
      </c>
      <c r="E88">
        <v>109</v>
      </c>
      <c r="F88">
        <v>1</v>
      </c>
      <c r="G88">
        <v>60</v>
      </c>
      <c r="H88">
        <v>1680</v>
      </c>
      <c r="I88" s="37" t="str">
        <f>VLOOKUP(A88,MCompany[],2,FALSE)</f>
        <v>Lucas Basics</v>
      </c>
      <c r="J88" t="str">
        <f>VLOOKUP(TableTemp2[[#This Row],[Customer Code]],MCustomer[],2,FALSE)</f>
        <v>Aida GmbH</v>
      </c>
      <c r="K88" t="str">
        <f>VLOOKUP(TableTemp2[[#This Row],[Article code]],MArticle[],2,FALSE)</f>
        <v>Laptop bag red</v>
      </c>
      <c r="L88" t="str">
        <f>VLOOKUP(TableTemp2[[#This Row],[Company]],MCompany[],3,FALSE)</f>
        <v>EUR</v>
      </c>
      <c r="M88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89" spans="1:13" x14ac:dyDescent="0.3">
      <c r="A89" s="4" t="s">
        <v>26</v>
      </c>
      <c r="B89">
        <v>48099</v>
      </c>
      <c r="C89" s="24">
        <v>43390</v>
      </c>
      <c r="D89">
        <v>8050</v>
      </c>
      <c r="E89">
        <v>110</v>
      </c>
      <c r="G89">
        <v>60</v>
      </c>
      <c r="H89">
        <v>3600</v>
      </c>
      <c r="I89" s="37" t="str">
        <f>VLOOKUP(A89,MCompany[],2,FALSE)</f>
        <v>Lucas Basics</v>
      </c>
      <c r="J89" t="str">
        <f>VLOOKUP(TableTemp2[[#This Row],[Customer Code]],MCustomer[],2,FALSE)</f>
        <v>Aida GmbH</v>
      </c>
      <c r="K89" t="str">
        <f>VLOOKUP(TableTemp2[[#This Row],[Article code]],MArticle[],2,FALSE)</f>
        <v>Smartphone case diamond</v>
      </c>
      <c r="L89" t="str">
        <f>VLOOKUP(TableTemp2[[#This Row],[Company]],MCompany[],3,FALSE)</f>
        <v>EUR</v>
      </c>
      <c r="M89" s="38">
        <f>IF(TableTemp2[[#This Row],[Currency]]="EUR",ROUND(VLOOKUP(MONTH(TableTemp2[[#This Row],[Document Date]]),MExchange[],2,FALSE)*TableTemp2[[#This Row],[Sales Local Currency]],2),ROUND(TableTemp2[[#This Row],[Sales Local Currency]],2))</f>
        <v>4229.78</v>
      </c>
    </row>
    <row r="90" spans="1:13" x14ac:dyDescent="0.3">
      <c r="A90" s="4" t="s">
        <v>26</v>
      </c>
      <c r="B90">
        <v>48099</v>
      </c>
      <c r="C90" s="24">
        <v>43390</v>
      </c>
      <c r="D90">
        <v>8050</v>
      </c>
      <c r="E90">
        <v>111</v>
      </c>
      <c r="G90">
        <v>60</v>
      </c>
      <c r="H90">
        <v>1200</v>
      </c>
      <c r="I90" s="37" t="str">
        <f>VLOOKUP(A90,MCompany[],2,FALSE)</f>
        <v>Lucas Basics</v>
      </c>
      <c r="J90" t="str">
        <f>VLOOKUP(TableTemp2[[#This Row],[Customer Code]],MCustomer[],2,FALSE)</f>
        <v>Aida GmbH</v>
      </c>
      <c r="K90" t="str">
        <f>VLOOKUP(TableTemp2[[#This Row],[Article code]],MArticle[],2,FALSE)</f>
        <v>Smartphone case simple</v>
      </c>
      <c r="L90" t="str">
        <f>VLOOKUP(TableTemp2[[#This Row],[Company]],MCompany[],3,FALSE)</f>
        <v>EUR</v>
      </c>
      <c r="M90" s="38">
        <f>IF(TableTemp2[[#This Row],[Currency]]="EUR",ROUND(VLOOKUP(MONTH(TableTemp2[[#This Row],[Document Date]]),MExchange[],2,FALSE)*TableTemp2[[#This Row],[Sales Local Currency]],2),ROUND(TableTemp2[[#This Row],[Sales Local Currency]],2))</f>
        <v>1409.93</v>
      </c>
    </row>
    <row r="91" spans="1:13" x14ac:dyDescent="0.3">
      <c r="A91" s="4" t="s">
        <v>26</v>
      </c>
      <c r="B91">
        <v>48101</v>
      </c>
      <c r="C91" s="24">
        <v>43390</v>
      </c>
      <c r="D91">
        <v>8060</v>
      </c>
      <c r="E91">
        <v>109</v>
      </c>
      <c r="G91">
        <v>60</v>
      </c>
      <c r="H91">
        <v>1680</v>
      </c>
      <c r="I91" s="37" t="str">
        <f>VLOOKUP(A91,MCompany[],2,FALSE)</f>
        <v>Lucas Basics</v>
      </c>
      <c r="J91" t="str">
        <f>VLOOKUP(TableTemp2[[#This Row],[Customer Code]],MCustomer[],2,FALSE)</f>
        <v>Liebher</v>
      </c>
      <c r="K91" t="str">
        <f>VLOOKUP(TableTemp2[[#This Row],[Article code]],MArticle[],2,FALSE)</f>
        <v>Laptop bag red</v>
      </c>
      <c r="L91" t="str">
        <f>VLOOKUP(TableTemp2[[#This Row],[Company]],MCompany[],3,FALSE)</f>
        <v>EUR</v>
      </c>
      <c r="M91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92" spans="1:13" x14ac:dyDescent="0.3">
      <c r="A92" s="4" t="s">
        <v>26</v>
      </c>
      <c r="B92">
        <v>48101</v>
      </c>
      <c r="C92" s="24">
        <v>43390</v>
      </c>
      <c r="D92">
        <v>8060</v>
      </c>
      <c r="E92">
        <v>110</v>
      </c>
      <c r="G92">
        <v>50</v>
      </c>
      <c r="H92">
        <v>3000</v>
      </c>
      <c r="I92" s="37" t="str">
        <f>VLOOKUP(A92,MCompany[],2,FALSE)</f>
        <v>Lucas Basics</v>
      </c>
      <c r="J92" t="str">
        <f>VLOOKUP(TableTemp2[[#This Row],[Customer Code]],MCustomer[],2,FALSE)</f>
        <v>Liebher</v>
      </c>
      <c r="K92" t="str">
        <f>VLOOKUP(TableTemp2[[#This Row],[Article code]],MArticle[],2,FALSE)</f>
        <v>Smartphone case diamond</v>
      </c>
      <c r="L92" t="str">
        <f>VLOOKUP(TableTemp2[[#This Row],[Company]],MCompany[],3,FALSE)</f>
        <v>EUR</v>
      </c>
      <c r="M92" s="38">
        <f>IF(TableTemp2[[#This Row],[Currency]]="EUR",ROUND(VLOOKUP(MONTH(TableTemp2[[#This Row],[Document Date]]),MExchange[],2,FALSE)*TableTemp2[[#This Row],[Sales Local Currency]],2),ROUND(TableTemp2[[#This Row],[Sales Local Currency]],2))</f>
        <v>3524.82</v>
      </c>
    </row>
    <row r="93" spans="1:13" x14ac:dyDescent="0.3">
      <c r="A93" s="4" t="s">
        <v>26</v>
      </c>
      <c r="B93">
        <v>45427</v>
      </c>
      <c r="C93" s="24">
        <v>43394</v>
      </c>
      <c r="D93">
        <v>8050</v>
      </c>
      <c r="E93">
        <v>108</v>
      </c>
      <c r="G93">
        <v>70</v>
      </c>
      <c r="H93">
        <v>1960</v>
      </c>
      <c r="I93" s="37" t="str">
        <f>VLOOKUP(A93,MCompany[],2,FALSE)</f>
        <v>Lucas Basics</v>
      </c>
      <c r="J93" t="str">
        <f>VLOOKUP(TableTemp2[[#This Row],[Customer Code]],MCustomer[],2,FALSE)</f>
        <v>Aida GmbH</v>
      </c>
      <c r="K93" t="str">
        <f>VLOOKUP(TableTemp2[[#This Row],[Article code]],MArticle[],2,FALSE)</f>
        <v>Laptop bag black</v>
      </c>
      <c r="L93" t="str">
        <f>VLOOKUP(TableTemp2[[#This Row],[Company]],MCompany[],3,FALSE)</f>
        <v>EUR</v>
      </c>
      <c r="M93" s="38">
        <f>IF(TableTemp2[[#This Row],[Currency]]="EUR",ROUND(VLOOKUP(MONTH(TableTemp2[[#This Row],[Document Date]]),MExchange[],2,FALSE)*TableTemp2[[#This Row],[Sales Local Currency]],2),ROUND(TableTemp2[[#This Row],[Sales Local Currency]],2))</f>
        <v>2302.88</v>
      </c>
    </row>
    <row r="94" spans="1:13" x14ac:dyDescent="0.3">
      <c r="A94" s="4" t="s">
        <v>26</v>
      </c>
      <c r="B94">
        <v>45427</v>
      </c>
      <c r="C94" s="24">
        <v>43394</v>
      </c>
      <c r="D94">
        <v>8050</v>
      </c>
      <c r="E94">
        <v>109</v>
      </c>
      <c r="G94">
        <v>60</v>
      </c>
      <c r="H94">
        <v>1680</v>
      </c>
      <c r="I94" s="37" t="str">
        <f>VLOOKUP(A94,MCompany[],2,FALSE)</f>
        <v>Lucas Basics</v>
      </c>
      <c r="J94" t="str">
        <f>VLOOKUP(TableTemp2[[#This Row],[Customer Code]],MCustomer[],2,FALSE)</f>
        <v>Aida GmbH</v>
      </c>
      <c r="K94" t="str">
        <f>VLOOKUP(TableTemp2[[#This Row],[Article code]],MArticle[],2,FALSE)</f>
        <v>Laptop bag red</v>
      </c>
      <c r="L94" t="str">
        <f>VLOOKUP(TableTemp2[[#This Row],[Company]],MCompany[],3,FALSE)</f>
        <v>EUR</v>
      </c>
      <c r="M94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95" spans="1:13" x14ac:dyDescent="0.3">
      <c r="A95" s="4" t="s">
        <v>26</v>
      </c>
      <c r="B95">
        <v>45429</v>
      </c>
      <c r="C95" s="24">
        <v>43394</v>
      </c>
      <c r="D95">
        <v>8060</v>
      </c>
      <c r="E95">
        <v>108</v>
      </c>
      <c r="G95">
        <v>80</v>
      </c>
      <c r="H95">
        <v>2240</v>
      </c>
      <c r="I95" s="37" t="str">
        <f>VLOOKUP(A95,MCompany[],2,FALSE)</f>
        <v>Lucas Basics</v>
      </c>
      <c r="J95" t="str">
        <f>VLOOKUP(TableTemp2[[#This Row],[Customer Code]],MCustomer[],2,FALSE)</f>
        <v>Liebher</v>
      </c>
      <c r="K95" t="str">
        <f>VLOOKUP(TableTemp2[[#This Row],[Article code]],MArticle[],2,FALSE)</f>
        <v>Laptop bag black</v>
      </c>
      <c r="L95" t="str">
        <f>VLOOKUP(TableTemp2[[#This Row],[Company]],MCompany[],3,FALSE)</f>
        <v>EUR</v>
      </c>
      <c r="M95" s="38">
        <f>IF(TableTemp2[[#This Row],[Currency]]="EUR",ROUND(VLOOKUP(MONTH(TableTemp2[[#This Row],[Document Date]]),MExchange[],2,FALSE)*TableTemp2[[#This Row],[Sales Local Currency]],2),ROUND(TableTemp2[[#This Row],[Sales Local Currency]],2))</f>
        <v>2631.86</v>
      </c>
    </row>
    <row r="96" spans="1:13" x14ac:dyDescent="0.3">
      <c r="A96" s="4" t="s">
        <v>26</v>
      </c>
      <c r="B96">
        <v>45429</v>
      </c>
      <c r="C96" s="24">
        <v>43394</v>
      </c>
      <c r="D96">
        <v>8060</v>
      </c>
      <c r="E96">
        <v>109</v>
      </c>
      <c r="F96">
        <v>2</v>
      </c>
      <c r="G96">
        <v>80</v>
      </c>
      <c r="H96">
        <v>2240</v>
      </c>
      <c r="I96" s="37" t="str">
        <f>VLOOKUP(A96,MCompany[],2,FALSE)</f>
        <v>Lucas Basics</v>
      </c>
      <c r="J96" t="str">
        <f>VLOOKUP(TableTemp2[[#This Row],[Customer Code]],MCustomer[],2,FALSE)</f>
        <v>Liebher</v>
      </c>
      <c r="K96" t="str">
        <f>VLOOKUP(TableTemp2[[#This Row],[Article code]],MArticle[],2,FALSE)</f>
        <v>Laptop bag red</v>
      </c>
      <c r="L96" t="str">
        <f>VLOOKUP(TableTemp2[[#This Row],[Company]],MCompany[],3,FALSE)</f>
        <v>EUR</v>
      </c>
      <c r="M96" s="38">
        <f>IF(TableTemp2[[#This Row],[Currency]]="EUR",ROUND(VLOOKUP(MONTH(TableTemp2[[#This Row],[Document Date]]),MExchange[],2,FALSE)*TableTemp2[[#This Row],[Sales Local Currency]],2),ROUND(TableTemp2[[#This Row],[Sales Local Currency]],2))</f>
        <v>2631.86</v>
      </c>
    </row>
    <row r="97" spans="1:13" x14ac:dyDescent="0.3">
      <c r="A97" s="4" t="s">
        <v>26</v>
      </c>
      <c r="B97">
        <v>45429</v>
      </c>
      <c r="C97" s="24">
        <v>43394</v>
      </c>
      <c r="D97">
        <v>8060</v>
      </c>
      <c r="E97">
        <v>110</v>
      </c>
      <c r="G97">
        <v>50</v>
      </c>
      <c r="H97">
        <v>3000</v>
      </c>
      <c r="I97" s="37" t="str">
        <f>VLOOKUP(A97,MCompany[],2,FALSE)</f>
        <v>Lucas Basics</v>
      </c>
      <c r="J97" t="str">
        <f>VLOOKUP(TableTemp2[[#This Row],[Customer Code]],MCustomer[],2,FALSE)</f>
        <v>Liebher</v>
      </c>
      <c r="K97" t="str">
        <f>VLOOKUP(TableTemp2[[#This Row],[Article code]],MArticle[],2,FALSE)</f>
        <v>Smartphone case diamond</v>
      </c>
      <c r="L97" t="str">
        <f>VLOOKUP(TableTemp2[[#This Row],[Company]],MCompany[],3,FALSE)</f>
        <v>EUR</v>
      </c>
      <c r="M97" s="38">
        <f>IF(TableTemp2[[#This Row],[Currency]]="EUR",ROUND(VLOOKUP(MONTH(TableTemp2[[#This Row],[Document Date]]),MExchange[],2,FALSE)*TableTemp2[[#This Row],[Sales Local Currency]],2),ROUND(TableTemp2[[#This Row],[Sales Local Currency]],2))</f>
        <v>3524.82</v>
      </c>
    </row>
    <row r="98" spans="1:13" x14ac:dyDescent="0.3">
      <c r="A98" s="4" t="s">
        <v>26</v>
      </c>
      <c r="B98">
        <v>45431</v>
      </c>
      <c r="C98" s="24">
        <v>43394</v>
      </c>
      <c r="D98">
        <v>8050</v>
      </c>
      <c r="E98">
        <v>111</v>
      </c>
      <c r="G98">
        <v>60</v>
      </c>
      <c r="H98">
        <v>1200</v>
      </c>
      <c r="I98" s="37" t="str">
        <f>VLOOKUP(A98,MCompany[],2,FALSE)</f>
        <v>Lucas Basics</v>
      </c>
      <c r="J98" t="str">
        <f>VLOOKUP(TableTemp2[[#This Row],[Customer Code]],MCustomer[],2,FALSE)</f>
        <v>Aida GmbH</v>
      </c>
      <c r="K98" t="str">
        <f>VLOOKUP(TableTemp2[[#This Row],[Article code]],MArticle[],2,FALSE)</f>
        <v>Smartphone case simple</v>
      </c>
      <c r="L98" t="str">
        <f>VLOOKUP(TableTemp2[[#This Row],[Company]],MCompany[],3,FALSE)</f>
        <v>EUR</v>
      </c>
      <c r="M98" s="38">
        <f>IF(TableTemp2[[#This Row],[Currency]]="EUR",ROUND(VLOOKUP(MONTH(TableTemp2[[#This Row],[Document Date]]),MExchange[],2,FALSE)*TableTemp2[[#This Row],[Sales Local Currency]],2),ROUND(TableTemp2[[#This Row],[Sales Local Currency]],2))</f>
        <v>1409.93</v>
      </c>
    </row>
    <row r="99" spans="1:13" x14ac:dyDescent="0.3">
      <c r="A99" s="4" t="s">
        <v>26</v>
      </c>
      <c r="B99">
        <v>45431</v>
      </c>
      <c r="C99" s="24">
        <v>43394</v>
      </c>
      <c r="D99">
        <v>8050</v>
      </c>
      <c r="E99">
        <v>108</v>
      </c>
      <c r="G99">
        <v>60</v>
      </c>
      <c r="H99">
        <v>1680</v>
      </c>
      <c r="I99" s="37" t="str">
        <f>VLOOKUP(A99,MCompany[],2,FALSE)</f>
        <v>Lucas Basics</v>
      </c>
      <c r="J99" t="str">
        <f>VLOOKUP(TableTemp2[[#This Row],[Customer Code]],MCustomer[],2,FALSE)</f>
        <v>Aida GmbH</v>
      </c>
      <c r="K99" t="str">
        <f>VLOOKUP(TableTemp2[[#This Row],[Article code]],MArticle[],2,FALSE)</f>
        <v>Laptop bag black</v>
      </c>
      <c r="L99" t="str">
        <f>VLOOKUP(TableTemp2[[#This Row],[Company]],MCompany[],3,FALSE)</f>
        <v>EUR</v>
      </c>
      <c r="M99" s="38">
        <f>IF(TableTemp2[[#This Row],[Currency]]="EUR",ROUND(VLOOKUP(MONTH(TableTemp2[[#This Row],[Document Date]]),MExchange[],2,FALSE)*TableTemp2[[#This Row],[Sales Local Currency]],2),ROUND(TableTemp2[[#This Row],[Sales Local Currency]],2))</f>
        <v>1973.9</v>
      </c>
    </row>
    <row r="100" spans="1:13" x14ac:dyDescent="0.3">
      <c r="A100" s="4" t="s">
        <v>20</v>
      </c>
      <c r="B100">
        <v>24030</v>
      </c>
      <c r="C100" s="24">
        <v>43375</v>
      </c>
      <c r="D100">
        <v>8020</v>
      </c>
      <c r="E100">
        <v>101</v>
      </c>
      <c r="F100">
        <v>1</v>
      </c>
      <c r="G100">
        <v>130</v>
      </c>
      <c r="H100">
        <v>1560</v>
      </c>
      <c r="I100" s="37" t="str">
        <f>VLOOKUP(A100,MCompany[],2,FALSE)</f>
        <v>Meta Creations</v>
      </c>
      <c r="J100" t="str">
        <f>VLOOKUP(TableTemp2[[#This Row],[Customer Code]],MCustomer[],2,FALSE)</f>
        <v>Erma</v>
      </c>
      <c r="K100" t="str">
        <f>VLOOKUP(TableTemp2[[#This Row],[Article code]],MArticle[],2,FALSE)</f>
        <v>Men type T simple white</v>
      </c>
      <c r="L100" t="str">
        <f>VLOOKUP(TableTemp2[[#This Row],[Company]],MCompany[],3,FALSE)</f>
        <v>USD</v>
      </c>
      <c r="M100" s="38">
        <f>IF(TableTemp2[[#This Row],[Currency]]="EUR",ROUND(VLOOKUP(MONTH(TableTemp2[[#This Row],[Document Date]]),MExchange[],2,FALSE)*TableTemp2[[#This Row],[Sales Local Currency]],2),ROUND(TableTemp2[[#This Row],[Sales Local Currency]],2))</f>
        <v>1560</v>
      </c>
    </row>
    <row r="101" spans="1:13" x14ac:dyDescent="0.3">
      <c r="A101" s="4" t="s">
        <v>20</v>
      </c>
      <c r="B101">
        <v>24030</v>
      </c>
      <c r="C101" s="24">
        <v>43375</v>
      </c>
      <c r="D101">
        <v>8020</v>
      </c>
      <c r="E101">
        <v>102</v>
      </c>
      <c r="G101">
        <v>30</v>
      </c>
      <c r="H101">
        <v>360</v>
      </c>
      <c r="I101" s="37" t="str">
        <f>VLOOKUP(A101,MCompany[],2,FALSE)</f>
        <v>Meta Creations</v>
      </c>
      <c r="J101" t="str">
        <f>VLOOKUP(TableTemp2[[#This Row],[Customer Code]],MCustomer[],2,FALSE)</f>
        <v>Erma</v>
      </c>
      <c r="K101" t="str">
        <f>VLOOKUP(TableTemp2[[#This Row],[Article code]],MArticle[],2,FALSE)</f>
        <v>Men type T simple black</v>
      </c>
      <c r="L101" t="str">
        <f>VLOOKUP(TableTemp2[[#This Row],[Company]],MCompany[],3,FALSE)</f>
        <v>USD</v>
      </c>
      <c r="M101" s="38">
        <f>IF(TableTemp2[[#This Row],[Currency]]="EUR",ROUND(VLOOKUP(MONTH(TableTemp2[[#This Row],[Document Date]]),MExchange[],2,FALSE)*TableTemp2[[#This Row],[Sales Local Currency]],2),ROUND(TableTemp2[[#This Row],[Sales Local Currency]],2))</f>
        <v>360</v>
      </c>
    </row>
    <row r="102" spans="1:13" x14ac:dyDescent="0.3">
      <c r="A102" s="4" t="s">
        <v>20</v>
      </c>
      <c r="B102">
        <v>24030</v>
      </c>
      <c r="C102" s="24">
        <v>43375</v>
      </c>
      <c r="D102">
        <v>8020</v>
      </c>
      <c r="E102">
        <v>106</v>
      </c>
      <c r="F102" t="s">
        <v>89</v>
      </c>
      <c r="G102">
        <v>60</v>
      </c>
      <c r="H102">
        <v>300</v>
      </c>
      <c r="I102" s="37" t="str">
        <f>VLOOKUP(A102,MCompany[],2,FALSE)</f>
        <v>Meta Creations</v>
      </c>
      <c r="J102" t="str">
        <f>VLOOKUP(TableTemp2[[#This Row],[Customer Code]],MCustomer[],2,FALSE)</f>
        <v>Erma</v>
      </c>
      <c r="K102" t="str">
        <f>VLOOKUP(TableTemp2[[#This Row],[Article code]],MArticle[],2,FALSE)</f>
        <v>Men basics</v>
      </c>
      <c r="L102" t="str">
        <f>VLOOKUP(TableTemp2[[#This Row],[Company]],MCompany[],3,FALSE)</f>
        <v>USD</v>
      </c>
      <c r="M102" s="38">
        <f>IF(TableTemp2[[#This Row],[Currency]]="EUR",ROUND(VLOOKUP(MONTH(TableTemp2[[#This Row],[Document Date]]),MExchange[],2,FALSE)*TableTemp2[[#This Row],[Sales Local Currency]],2),ROUND(TableTemp2[[#This Row],[Sales Local Currency]],2))</f>
        <v>300</v>
      </c>
    </row>
    <row r="103" spans="1:13" x14ac:dyDescent="0.3">
      <c r="A103" s="4" t="s">
        <v>20</v>
      </c>
      <c r="B103">
        <v>24030</v>
      </c>
      <c r="C103" s="24">
        <v>43375</v>
      </c>
      <c r="D103">
        <v>8020</v>
      </c>
      <c r="E103">
        <v>108</v>
      </c>
      <c r="G103">
        <v>80</v>
      </c>
      <c r="H103">
        <v>2240</v>
      </c>
      <c r="I103" s="37" t="str">
        <f>VLOOKUP(A103,MCompany[],2,FALSE)</f>
        <v>Meta Creations</v>
      </c>
      <c r="J103" t="str">
        <f>VLOOKUP(TableTemp2[[#This Row],[Customer Code]],MCustomer[],2,FALSE)</f>
        <v>Erma</v>
      </c>
      <c r="K103" t="str">
        <f>VLOOKUP(TableTemp2[[#This Row],[Article code]],MArticle[],2,FALSE)</f>
        <v>Laptop bag black</v>
      </c>
      <c r="L103" t="str">
        <f>VLOOKUP(TableTemp2[[#This Row],[Company]],MCompany[],3,FALSE)</f>
        <v>USD</v>
      </c>
      <c r="M103" s="38">
        <f>IF(TableTemp2[[#This Row],[Currency]]="EUR",ROUND(VLOOKUP(MONTH(TableTemp2[[#This Row],[Document Date]]),MExchange[],2,FALSE)*TableTemp2[[#This Row],[Sales Local Currency]],2),ROUND(TableTemp2[[#This Row],[Sales Local Currency]],2))</f>
        <v>2240</v>
      </c>
    </row>
    <row r="104" spans="1:13" x14ac:dyDescent="0.3">
      <c r="A104" s="4" t="s">
        <v>20</v>
      </c>
      <c r="B104">
        <v>24031</v>
      </c>
      <c r="C104" s="24">
        <v>43381</v>
      </c>
      <c r="D104">
        <v>8020</v>
      </c>
      <c r="E104">
        <v>101</v>
      </c>
      <c r="F104" t="s">
        <v>89</v>
      </c>
      <c r="G104">
        <v>100</v>
      </c>
      <c r="H104">
        <v>1200</v>
      </c>
      <c r="I104" s="37" t="str">
        <f>VLOOKUP(A104,MCompany[],2,FALSE)</f>
        <v>Meta Creations</v>
      </c>
      <c r="J104" t="str">
        <f>VLOOKUP(TableTemp2[[#This Row],[Customer Code]],MCustomer[],2,FALSE)</f>
        <v>Erma</v>
      </c>
      <c r="K104" t="str">
        <f>VLOOKUP(TableTemp2[[#This Row],[Article code]],MArticle[],2,FALSE)</f>
        <v>Men type T simple white</v>
      </c>
      <c r="L104" t="str">
        <f>VLOOKUP(TableTemp2[[#This Row],[Company]],MCompany[],3,FALSE)</f>
        <v>USD</v>
      </c>
      <c r="M104" s="38">
        <f>IF(TableTemp2[[#This Row],[Currency]]="EUR",ROUND(VLOOKUP(MONTH(TableTemp2[[#This Row],[Document Date]]),MExchange[],2,FALSE)*TableTemp2[[#This Row],[Sales Local Currency]],2),ROUND(TableTemp2[[#This Row],[Sales Local Currency]],2))</f>
        <v>1200</v>
      </c>
    </row>
    <row r="105" spans="1:13" x14ac:dyDescent="0.3">
      <c r="A105" s="4" t="s">
        <v>20</v>
      </c>
      <c r="B105">
        <v>24031</v>
      </c>
      <c r="C105" s="24">
        <v>43381</v>
      </c>
      <c r="D105">
        <v>8020</v>
      </c>
      <c r="E105">
        <v>108</v>
      </c>
      <c r="F105" t="s">
        <v>89</v>
      </c>
      <c r="G105">
        <v>20</v>
      </c>
      <c r="H105">
        <v>560</v>
      </c>
      <c r="I105" s="37" t="str">
        <f>VLOOKUP(A105,MCompany[],2,FALSE)</f>
        <v>Meta Creations</v>
      </c>
      <c r="J105" t="str">
        <f>VLOOKUP(TableTemp2[[#This Row],[Customer Code]],MCustomer[],2,FALSE)</f>
        <v>Erma</v>
      </c>
      <c r="K105" t="str">
        <f>VLOOKUP(TableTemp2[[#This Row],[Article code]],MArticle[],2,FALSE)</f>
        <v>Laptop bag black</v>
      </c>
      <c r="L105" t="str">
        <f>VLOOKUP(TableTemp2[[#This Row],[Company]],MCompany[],3,FALSE)</f>
        <v>USD</v>
      </c>
      <c r="M105" s="38">
        <f>IF(TableTemp2[[#This Row],[Currency]]="EUR",ROUND(VLOOKUP(MONTH(TableTemp2[[#This Row],[Document Date]]),MExchange[],2,FALSE)*TableTemp2[[#This Row],[Sales Local Currency]],2),ROUND(TableTemp2[[#This Row],[Sales Local Currency]],2))</f>
        <v>560</v>
      </c>
    </row>
    <row r="106" spans="1:13" x14ac:dyDescent="0.3">
      <c r="A106" s="4" t="s">
        <v>20</v>
      </c>
      <c r="B106">
        <v>24031</v>
      </c>
      <c r="C106" s="24">
        <v>43381</v>
      </c>
      <c r="D106">
        <v>8020</v>
      </c>
      <c r="E106">
        <v>113</v>
      </c>
      <c r="F106" t="s">
        <v>89</v>
      </c>
      <c r="G106">
        <v>100</v>
      </c>
      <c r="H106">
        <v>2500</v>
      </c>
      <c r="I106" s="37" t="str">
        <f>VLOOKUP(A106,MCompany[],2,FALSE)</f>
        <v>Meta Creations</v>
      </c>
      <c r="J106" t="str">
        <f>VLOOKUP(TableTemp2[[#This Row],[Customer Code]],MCustomer[],2,FALSE)</f>
        <v>Erma</v>
      </c>
      <c r="K106" t="str">
        <f>VLOOKUP(TableTemp2[[#This Row],[Article code]],MArticle[],2,FALSE)</f>
        <v>Men dress shirt black</v>
      </c>
      <c r="L106" t="str">
        <f>VLOOKUP(TableTemp2[[#This Row],[Company]],MCompany[],3,FALSE)</f>
        <v>USD</v>
      </c>
      <c r="M106" s="38">
        <f>IF(TableTemp2[[#This Row],[Currency]]="EUR",ROUND(VLOOKUP(MONTH(TableTemp2[[#This Row],[Document Date]]),MExchange[],2,FALSE)*TableTemp2[[#This Row],[Sales Local Currency]],2),ROUND(TableTemp2[[#This Row],[Sales Local Currency]],2))</f>
        <v>2500</v>
      </c>
    </row>
    <row r="107" spans="1:13" x14ac:dyDescent="0.3">
      <c r="A107" s="4" t="s">
        <v>20</v>
      </c>
      <c r="B107">
        <v>28112</v>
      </c>
      <c r="C107" s="24">
        <v>43385</v>
      </c>
      <c r="D107">
        <v>8020</v>
      </c>
      <c r="E107">
        <v>114</v>
      </c>
      <c r="F107">
        <v>1</v>
      </c>
      <c r="G107">
        <v>50</v>
      </c>
      <c r="H107">
        <v>1250</v>
      </c>
      <c r="I107" s="37" t="str">
        <f>VLOOKUP(A107,MCompany[],2,FALSE)</f>
        <v>Meta Creations</v>
      </c>
      <c r="J107" t="str">
        <f>VLOOKUP(TableTemp2[[#This Row],[Customer Code]],MCustomer[],2,FALSE)</f>
        <v>Erma</v>
      </c>
      <c r="K107" t="str">
        <f>VLOOKUP(TableTemp2[[#This Row],[Article code]],MArticle[],2,FALSE)</f>
        <v>Men dress shirt grey</v>
      </c>
      <c r="L107" t="str">
        <f>VLOOKUP(TableTemp2[[#This Row],[Company]],MCompany[],3,FALSE)</f>
        <v>USD</v>
      </c>
      <c r="M107" s="38">
        <f>IF(TableTemp2[[#This Row],[Currency]]="EUR",ROUND(VLOOKUP(MONTH(TableTemp2[[#This Row],[Document Date]]),MExchange[],2,FALSE)*TableTemp2[[#This Row],[Sales Local Currency]],2),ROUND(TableTemp2[[#This Row],[Sales Local Currency]],2))</f>
        <v>1250</v>
      </c>
    </row>
    <row r="108" spans="1:13" x14ac:dyDescent="0.3">
      <c r="A108" s="4" t="s">
        <v>20</v>
      </c>
      <c r="B108">
        <v>28112</v>
      </c>
      <c r="C108" s="24">
        <v>43385</v>
      </c>
      <c r="D108">
        <v>8020</v>
      </c>
      <c r="E108">
        <v>101</v>
      </c>
      <c r="F108" t="s">
        <v>89</v>
      </c>
      <c r="G108">
        <v>40</v>
      </c>
      <c r="H108">
        <v>480</v>
      </c>
      <c r="I108" s="37" t="str">
        <f>VLOOKUP(A108,MCompany[],2,FALSE)</f>
        <v>Meta Creations</v>
      </c>
      <c r="J108" t="str">
        <f>VLOOKUP(TableTemp2[[#This Row],[Customer Code]],MCustomer[],2,FALSE)</f>
        <v>Erma</v>
      </c>
      <c r="K108" t="str">
        <f>VLOOKUP(TableTemp2[[#This Row],[Article code]],MArticle[],2,FALSE)</f>
        <v>Men type T simple white</v>
      </c>
      <c r="L108" t="str">
        <f>VLOOKUP(TableTemp2[[#This Row],[Company]],MCompany[],3,FALSE)</f>
        <v>USD</v>
      </c>
      <c r="M108" s="38">
        <f>IF(TableTemp2[[#This Row],[Currency]]="EUR",ROUND(VLOOKUP(MONTH(TableTemp2[[#This Row],[Document Date]]),MExchange[],2,FALSE)*TableTemp2[[#This Row],[Sales Local Currency]],2),ROUND(TableTemp2[[#This Row],[Sales Local Currency]],2))</f>
        <v>480</v>
      </c>
    </row>
    <row r="109" spans="1:13" x14ac:dyDescent="0.3">
      <c r="A109" s="4" t="s">
        <v>20</v>
      </c>
      <c r="B109">
        <v>28112</v>
      </c>
      <c r="C109" s="24">
        <v>43385</v>
      </c>
      <c r="D109">
        <v>8020</v>
      </c>
      <c r="E109">
        <v>102</v>
      </c>
      <c r="G109">
        <v>70</v>
      </c>
      <c r="H109">
        <v>840</v>
      </c>
      <c r="I109" s="37" t="str">
        <f>VLOOKUP(A109,MCompany[],2,FALSE)</f>
        <v>Meta Creations</v>
      </c>
      <c r="J109" t="str">
        <f>VLOOKUP(TableTemp2[[#This Row],[Customer Code]],MCustomer[],2,FALSE)</f>
        <v>Erma</v>
      </c>
      <c r="K109" t="str">
        <f>VLOOKUP(TableTemp2[[#This Row],[Article code]],MArticle[],2,FALSE)</f>
        <v>Men type T simple black</v>
      </c>
      <c r="L109" t="str">
        <f>VLOOKUP(TableTemp2[[#This Row],[Company]],MCompany[],3,FALSE)</f>
        <v>USD</v>
      </c>
      <c r="M109" s="38">
        <f>IF(TableTemp2[[#This Row],[Currency]]="EUR",ROUND(VLOOKUP(MONTH(TableTemp2[[#This Row],[Document Date]]),MExchange[],2,FALSE)*TableTemp2[[#This Row],[Sales Local Currency]],2),ROUND(TableTemp2[[#This Row],[Sales Local Currency]],2))</f>
        <v>840</v>
      </c>
    </row>
    <row r="110" spans="1:13" x14ac:dyDescent="0.3">
      <c r="A110" s="4" t="s">
        <v>20</v>
      </c>
      <c r="B110">
        <v>28112</v>
      </c>
      <c r="C110" s="24">
        <v>43385</v>
      </c>
      <c r="D110">
        <v>8020</v>
      </c>
      <c r="E110">
        <v>106</v>
      </c>
      <c r="G110">
        <v>70</v>
      </c>
      <c r="H110">
        <v>350</v>
      </c>
      <c r="I110" s="37" t="str">
        <f>VLOOKUP(A110,MCompany[],2,FALSE)</f>
        <v>Meta Creations</v>
      </c>
      <c r="J110" t="str">
        <f>VLOOKUP(TableTemp2[[#This Row],[Customer Code]],MCustomer[],2,FALSE)</f>
        <v>Erma</v>
      </c>
      <c r="K110" t="str">
        <f>VLOOKUP(TableTemp2[[#This Row],[Article code]],MArticle[],2,FALSE)</f>
        <v>Men basics</v>
      </c>
      <c r="L110" t="str">
        <f>VLOOKUP(TableTemp2[[#This Row],[Company]],MCompany[],3,FALSE)</f>
        <v>USD</v>
      </c>
      <c r="M110" s="38">
        <f>IF(TableTemp2[[#This Row],[Currency]]="EUR",ROUND(VLOOKUP(MONTH(TableTemp2[[#This Row],[Document Date]]),MExchange[],2,FALSE)*TableTemp2[[#This Row],[Sales Local Currency]],2),ROUND(TableTemp2[[#This Row],[Sales Local Currency]],2))</f>
        <v>350</v>
      </c>
    </row>
    <row r="111" spans="1:13" x14ac:dyDescent="0.3">
      <c r="A111" s="4" t="s">
        <v>20</v>
      </c>
      <c r="B111">
        <v>28112</v>
      </c>
      <c r="C111" s="24">
        <v>43385</v>
      </c>
      <c r="D111">
        <v>8020</v>
      </c>
      <c r="E111">
        <v>108</v>
      </c>
      <c r="G111">
        <v>10</v>
      </c>
      <c r="H111">
        <v>280</v>
      </c>
      <c r="I111" s="37" t="str">
        <f>VLOOKUP(A111,MCompany[],2,FALSE)</f>
        <v>Meta Creations</v>
      </c>
      <c r="J111" t="str">
        <f>VLOOKUP(TableTemp2[[#This Row],[Customer Code]],MCustomer[],2,FALSE)</f>
        <v>Erma</v>
      </c>
      <c r="K111" t="str">
        <f>VLOOKUP(TableTemp2[[#This Row],[Article code]],MArticle[],2,FALSE)</f>
        <v>Laptop bag black</v>
      </c>
      <c r="L111" t="str">
        <f>VLOOKUP(TableTemp2[[#This Row],[Company]],MCompany[],3,FALSE)</f>
        <v>USD</v>
      </c>
      <c r="M111" s="38">
        <f>IF(TableTemp2[[#This Row],[Currency]]="EUR",ROUND(VLOOKUP(MONTH(TableTemp2[[#This Row],[Document Date]]),MExchange[],2,FALSE)*TableTemp2[[#This Row],[Sales Local Currency]],2),ROUND(TableTemp2[[#This Row],[Sales Local Currency]],2))</f>
        <v>280</v>
      </c>
    </row>
    <row r="112" spans="1:13" x14ac:dyDescent="0.3">
      <c r="A112" s="4" t="s">
        <v>20</v>
      </c>
      <c r="B112">
        <v>28112</v>
      </c>
      <c r="C112" s="24">
        <v>43385</v>
      </c>
      <c r="D112">
        <v>8020</v>
      </c>
      <c r="E112">
        <v>117</v>
      </c>
      <c r="G112">
        <v>80</v>
      </c>
      <c r="H112">
        <v>1440</v>
      </c>
      <c r="I112" s="37" t="str">
        <f>VLOOKUP(A112,MCompany[],2,FALSE)</f>
        <v>Meta Creations</v>
      </c>
      <c r="J112" t="str">
        <f>VLOOKUP(TableTemp2[[#This Row],[Customer Code]],MCustomer[],2,FALSE)</f>
        <v>Erma</v>
      </c>
      <c r="K112" t="str">
        <f>VLOOKUP(TableTemp2[[#This Row],[Article code]],MArticle[],2,FALSE)</f>
        <v>Men shorts grey</v>
      </c>
      <c r="L112" t="str">
        <f>VLOOKUP(TableTemp2[[#This Row],[Company]],MCompany[],3,FALSE)</f>
        <v>USD</v>
      </c>
      <c r="M112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13" spans="1:13" x14ac:dyDescent="0.3">
      <c r="A113" s="4" t="s">
        <v>20</v>
      </c>
      <c r="B113">
        <v>28112</v>
      </c>
      <c r="C113" s="24">
        <v>43385</v>
      </c>
      <c r="D113">
        <v>8020</v>
      </c>
      <c r="E113">
        <v>118</v>
      </c>
      <c r="G113">
        <v>70</v>
      </c>
      <c r="H113">
        <v>1260</v>
      </c>
      <c r="I113" s="37" t="str">
        <f>VLOOKUP(A113,MCompany[],2,FALSE)</f>
        <v>Meta Creations</v>
      </c>
      <c r="J113" t="str">
        <f>VLOOKUP(TableTemp2[[#This Row],[Customer Code]],MCustomer[],2,FALSE)</f>
        <v>Erma</v>
      </c>
      <c r="K113" t="str">
        <f>VLOOKUP(TableTemp2[[#This Row],[Article code]],MArticle[],2,FALSE)</f>
        <v>Men shorts black</v>
      </c>
      <c r="L113" t="str">
        <f>VLOOKUP(TableTemp2[[#This Row],[Company]],MCompany[],3,FALSE)</f>
        <v>USD</v>
      </c>
      <c r="M113" s="38">
        <f>IF(TableTemp2[[#This Row],[Currency]]="EUR",ROUND(VLOOKUP(MONTH(TableTemp2[[#This Row],[Document Date]]),MExchange[],2,FALSE)*TableTemp2[[#This Row],[Sales Local Currency]],2),ROUND(TableTemp2[[#This Row],[Sales Local Currency]],2))</f>
        <v>1260</v>
      </c>
    </row>
    <row r="114" spans="1:13" x14ac:dyDescent="0.3">
      <c r="A114" s="4" t="s">
        <v>20</v>
      </c>
      <c r="B114">
        <v>25442</v>
      </c>
      <c r="C114" s="24">
        <v>43389</v>
      </c>
      <c r="D114">
        <v>8010</v>
      </c>
      <c r="E114">
        <v>118</v>
      </c>
      <c r="G114">
        <v>70</v>
      </c>
      <c r="H114">
        <v>1260</v>
      </c>
      <c r="I114" s="37" t="str">
        <f>VLOOKUP(A114,MCompany[],2,FALSE)</f>
        <v>Meta Creations</v>
      </c>
      <c r="J114" t="str">
        <f>VLOOKUP(TableTemp2[[#This Row],[Customer Code]],MCustomer[],2,FALSE)</f>
        <v>Dellicia</v>
      </c>
      <c r="K114" t="str">
        <f>VLOOKUP(TableTemp2[[#This Row],[Article code]],MArticle[],2,FALSE)</f>
        <v>Men shorts black</v>
      </c>
      <c r="L114" t="str">
        <f>VLOOKUP(TableTemp2[[#This Row],[Company]],MCompany[],3,FALSE)</f>
        <v>USD</v>
      </c>
      <c r="M114" s="38">
        <f>IF(TableTemp2[[#This Row],[Currency]]="EUR",ROUND(VLOOKUP(MONTH(TableTemp2[[#This Row],[Document Date]]),MExchange[],2,FALSE)*TableTemp2[[#This Row],[Sales Local Currency]],2),ROUND(TableTemp2[[#This Row],[Sales Local Currency]],2))</f>
        <v>1260</v>
      </c>
    </row>
    <row r="115" spans="1:13" x14ac:dyDescent="0.3">
      <c r="A115" s="4" t="s">
        <v>20</v>
      </c>
      <c r="B115">
        <v>25442</v>
      </c>
      <c r="C115" s="24">
        <v>43389</v>
      </c>
      <c r="D115">
        <v>8010</v>
      </c>
      <c r="E115">
        <v>117</v>
      </c>
      <c r="F115">
        <v>6</v>
      </c>
      <c r="G115">
        <v>80</v>
      </c>
      <c r="H115">
        <v>1440</v>
      </c>
      <c r="I115" s="37" t="str">
        <f>VLOOKUP(A115,MCompany[],2,FALSE)</f>
        <v>Meta Creations</v>
      </c>
      <c r="J115" t="str">
        <f>VLOOKUP(TableTemp2[[#This Row],[Customer Code]],MCustomer[],2,FALSE)</f>
        <v>Dellicia</v>
      </c>
      <c r="K115" t="str">
        <f>VLOOKUP(TableTemp2[[#This Row],[Article code]],MArticle[],2,FALSE)</f>
        <v>Men shorts grey</v>
      </c>
      <c r="L115" t="str">
        <f>VLOOKUP(TableTemp2[[#This Row],[Company]],MCompany[],3,FALSE)</f>
        <v>USD</v>
      </c>
      <c r="M115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16" spans="1:13" x14ac:dyDescent="0.3">
      <c r="A116" s="4" t="s">
        <v>20</v>
      </c>
      <c r="B116">
        <v>25442</v>
      </c>
      <c r="C116" s="24">
        <v>43389</v>
      </c>
      <c r="D116">
        <v>8010</v>
      </c>
      <c r="E116">
        <v>118</v>
      </c>
      <c r="G116">
        <v>70</v>
      </c>
      <c r="H116">
        <v>1260</v>
      </c>
      <c r="I116" s="37" t="str">
        <f>VLOOKUP(A116,MCompany[],2,FALSE)</f>
        <v>Meta Creations</v>
      </c>
      <c r="J116" t="str">
        <f>VLOOKUP(TableTemp2[[#This Row],[Customer Code]],MCustomer[],2,FALSE)</f>
        <v>Dellicia</v>
      </c>
      <c r="K116" t="str">
        <f>VLOOKUP(TableTemp2[[#This Row],[Article code]],MArticle[],2,FALSE)</f>
        <v>Men shorts black</v>
      </c>
      <c r="L116" t="str">
        <f>VLOOKUP(TableTemp2[[#This Row],[Company]],MCompany[],3,FALSE)</f>
        <v>USD</v>
      </c>
      <c r="M116" s="38">
        <f>IF(TableTemp2[[#This Row],[Currency]]="EUR",ROUND(VLOOKUP(MONTH(TableTemp2[[#This Row],[Document Date]]),MExchange[],2,FALSE)*TableTemp2[[#This Row],[Sales Local Currency]],2),ROUND(TableTemp2[[#This Row],[Sales Local Currency]],2))</f>
        <v>1260</v>
      </c>
    </row>
    <row r="117" spans="1:13" x14ac:dyDescent="0.3">
      <c r="A117" s="4" t="s">
        <v>20</v>
      </c>
      <c r="B117">
        <v>25442</v>
      </c>
      <c r="C117" s="24">
        <v>43389</v>
      </c>
      <c r="D117">
        <v>8010</v>
      </c>
      <c r="E117">
        <v>116</v>
      </c>
      <c r="F117">
        <v>1</v>
      </c>
      <c r="G117">
        <v>60</v>
      </c>
      <c r="H117">
        <v>360</v>
      </c>
      <c r="I117" s="37" t="str">
        <f>VLOOKUP(A117,MCompany[],2,FALSE)</f>
        <v>Meta Creations</v>
      </c>
      <c r="J117" t="str">
        <f>VLOOKUP(TableTemp2[[#This Row],[Customer Code]],MCustomer[],2,FALSE)</f>
        <v>Dellicia</v>
      </c>
      <c r="K117" t="str">
        <f>VLOOKUP(TableTemp2[[#This Row],[Article code]],MArticle[],2,FALSE)</f>
        <v>Unisex tank top white</v>
      </c>
      <c r="L117" t="str">
        <f>VLOOKUP(TableTemp2[[#This Row],[Company]],MCompany[],3,FALSE)</f>
        <v>USD</v>
      </c>
      <c r="M117" s="38">
        <f>IF(TableTemp2[[#This Row],[Currency]]="EUR",ROUND(VLOOKUP(MONTH(TableTemp2[[#This Row],[Document Date]]),MExchange[],2,FALSE)*TableTemp2[[#This Row],[Sales Local Currency]],2),ROUND(TableTemp2[[#This Row],[Sales Local Currency]],2))</f>
        <v>360</v>
      </c>
    </row>
    <row r="118" spans="1:13" x14ac:dyDescent="0.3">
      <c r="A118" s="4" t="s">
        <v>20</v>
      </c>
      <c r="B118">
        <v>25442</v>
      </c>
      <c r="C118" s="24">
        <v>43389</v>
      </c>
      <c r="D118">
        <v>8010</v>
      </c>
      <c r="E118">
        <v>106</v>
      </c>
      <c r="G118">
        <v>20</v>
      </c>
      <c r="H118">
        <v>100</v>
      </c>
      <c r="I118" s="37" t="str">
        <f>VLOOKUP(A118,MCompany[],2,FALSE)</f>
        <v>Meta Creations</v>
      </c>
      <c r="J118" t="str">
        <f>VLOOKUP(TableTemp2[[#This Row],[Customer Code]],MCustomer[],2,FALSE)</f>
        <v>Dellicia</v>
      </c>
      <c r="K118" t="str">
        <f>VLOOKUP(TableTemp2[[#This Row],[Article code]],MArticle[],2,FALSE)</f>
        <v>Men basics</v>
      </c>
      <c r="L118" t="str">
        <f>VLOOKUP(TableTemp2[[#This Row],[Company]],MCompany[],3,FALSE)</f>
        <v>USD</v>
      </c>
      <c r="M118" s="38">
        <f>IF(TableTemp2[[#This Row],[Currency]]="EUR",ROUND(VLOOKUP(MONTH(TableTemp2[[#This Row],[Document Date]]),MExchange[],2,FALSE)*TableTemp2[[#This Row],[Sales Local Currency]],2),ROUND(TableTemp2[[#This Row],[Sales Local Currency]],2))</f>
        <v>100</v>
      </c>
    </row>
    <row r="119" spans="1:13" x14ac:dyDescent="0.3">
      <c r="A119" s="4" t="s">
        <v>20</v>
      </c>
      <c r="B119">
        <v>25442</v>
      </c>
      <c r="C119" s="24">
        <v>43389</v>
      </c>
      <c r="D119">
        <v>8010</v>
      </c>
      <c r="E119">
        <v>101</v>
      </c>
      <c r="G119">
        <v>40</v>
      </c>
      <c r="H119">
        <v>480</v>
      </c>
      <c r="I119" s="37" t="str">
        <f>VLOOKUP(A119,MCompany[],2,FALSE)</f>
        <v>Meta Creations</v>
      </c>
      <c r="J119" t="str">
        <f>VLOOKUP(TableTemp2[[#This Row],[Customer Code]],MCustomer[],2,FALSE)</f>
        <v>Dellicia</v>
      </c>
      <c r="K119" t="str">
        <f>VLOOKUP(TableTemp2[[#This Row],[Article code]],MArticle[],2,FALSE)</f>
        <v>Men type T simple white</v>
      </c>
      <c r="L119" t="str">
        <f>VLOOKUP(TableTemp2[[#This Row],[Company]],MCompany[],3,FALSE)</f>
        <v>USD</v>
      </c>
      <c r="M119" s="38">
        <f>IF(TableTemp2[[#This Row],[Currency]]="EUR",ROUND(VLOOKUP(MONTH(TableTemp2[[#This Row],[Document Date]]),MExchange[],2,FALSE)*TableTemp2[[#This Row],[Sales Local Currency]],2),ROUND(TableTemp2[[#This Row],[Sales Local Currency]],2))</f>
        <v>480</v>
      </c>
    </row>
    <row r="120" spans="1:13" x14ac:dyDescent="0.3">
      <c r="A120" s="4" t="s">
        <v>20</v>
      </c>
      <c r="B120">
        <v>25442</v>
      </c>
      <c r="C120" s="24">
        <v>43389</v>
      </c>
      <c r="D120">
        <v>8010</v>
      </c>
      <c r="E120">
        <v>102</v>
      </c>
      <c r="G120">
        <v>10</v>
      </c>
      <c r="H120">
        <v>120</v>
      </c>
      <c r="I120" s="37" t="str">
        <f>VLOOKUP(A120,MCompany[],2,FALSE)</f>
        <v>Meta Creations</v>
      </c>
      <c r="J120" t="str">
        <f>VLOOKUP(TableTemp2[[#This Row],[Customer Code]],MCustomer[],2,FALSE)</f>
        <v>Dellicia</v>
      </c>
      <c r="K120" t="str">
        <f>VLOOKUP(TableTemp2[[#This Row],[Article code]],MArticle[],2,FALSE)</f>
        <v>Men type T simple black</v>
      </c>
      <c r="L120" t="str">
        <f>VLOOKUP(TableTemp2[[#This Row],[Company]],MCompany[],3,FALSE)</f>
        <v>USD</v>
      </c>
      <c r="M120" s="38">
        <f>IF(TableTemp2[[#This Row],[Currency]]="EUR",ROUND(VLOOKUP(MONTH(TableTemp2[[#This Row],[Document Date]]),MExchange[],2,FALSE)*TableTemp2[[#This Row],[Sales Local Currency]],2),ROUND(TableTemp2[[#This Row],[Sales Local Currency]],2))</f>
        <v>120</v>
      </c>
    </row>
    <row r="121" spans="1:13" x14ac:dyDescent="0.3">
      <c r="A121" s="4" t="s">
        <v>16</v>
      </c>
      <c r="B121">
        <v>66030</v>
      </c>
      <c r="C121" s="24">
        <v>43377</v>
      </c>
      <c r="D121">
        <v>8010</v>
      </c>
      <c r="E121">
        <v>103</v>
      </c>
      <c r="F121" t="s">
        <v>89</v>
      </c>
      <c r="G121">
        <v>120</v>
      </c>
      <c r="H121">
        <v>1440</v>
      </c>
      <c r="I121" s="37" t="str">
        <f>VLOOKUP(A121,MCompany[],2,FALSE)</f>
        <v>Urban Right</v>
      </c>
      <c r="J121" t="str">
        <f>VLOOKUP(TableTemp2[[#This Row],[Customer Code]],MCustomer[],2,FALSE)</f>
        <v>Dellicia</v>
      </c>
      <c r="K121" t="str">
        <f>VLOOKUP(TableTemp2[[#This Row],[Article code]],MArticle[],2,FALSE)</f>
        <v>Women type T simple white</v>
      </c>
      <c r="L121" t="str">
        <f>VLOOKUP(TableTemp2[[#This Row],[Company]],MCompany[],3,FALSE)</f>
        <v>USD</v>
      </c>
      <c r="M121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22" spans="1:13" x14ac:dyDescent="0.3">
      <c r="A122" s="4" t="s">
        <v>16</v>
      </c>
      <c r="B122">
        <v>66030</v>
      </c>
      <c r="C122" s="24">
        <v>43377</v>
      </c>
      <c r="D122">
        <v>8010</v>
      </c>
      <c r="E122">
        <v>104</v>
      </c>
      <c r="G122">
        <v>150</v>
      </c>
      <c r="H122">
        <v>1800</v>
      </c>
      <c r="I122" s="37" t="str">
        <f>VLOOKUP(A122,MCompany[],2,FALSE)</f>
        <v>Urban Right</v>
      </c>
      <c r="J122" t="str">
        <f>VLOOKUP(TableTemp2[[#This Row],[Customer Code]],MCustomer[],2,FALSE)</f>
        <v>Dellicia</v>
      </c>
      <c r="K122" t="str">
        <f>VLOOKUP(TableTemp2[[#This Row],[Article code]],MArticle[],2,FALSE)</f>
        <v>Women type T simple black</v>
      </c>
      <c r="L122" t="str">
        <f>VLOOKUP(TableTemp2[[#This Row],[Company]],MCompany[],3,FALSE)</f>
        <v>USD</v>
      </c>
      <c r="M122" s="38">
        <f>IF(TableTemp2[[#This Row],[Currency]]="EUR",ROUND(VLOOKUP(MONTH(TableTemp2[[#This Row],[Document Date]]),MExchange[],2,FALSE)*TableTemp2[[#This Row],[Sales Local Currency]],2),ROUND(TableTemp2[[#This Row],[Sales Local Currency]],2))</f>
        <v>1800</v>
      </c>
    </row>
    <row r="123" spans="1:13" x14ac:dyDescent="0.3">
      <c r="A123" s="4" t="s">
        <v>16</v>
      </c>
      <c r="B123">
        <v>66032</v>
      </c>
      <c r="C123" s="24">
        <v>43380</v>
      </c>
      <c r="D123">
        <v>8010</v>
      </c>
      <c r="E123">
        <v>103</v>
      </c>
      <c r="G123">
        <v>170</v>
      </c>
      <c r="H123">
        <v>2040</v>
      </c>
      <c r="I123" s="37" t="str">
        <f>VLOOKUP(A123,MCompany[],2,FALSE)</f>
        <v>Urban Right</v>
      </c>
      <c r="J123" t="str">
        <f>VLOOKUP(TableTemp2[[#This Row],[Customer Code]],MCustomer[],2,FALSE)</f>
        <v>Dellicia</v>
      </c>
      <c r="K123" t="str">
        <f>VLOOKUP(TableTemp2[[#This Row],[Article code]],MArticle[],2,FALSE)</f>
        <v>Women type T simple white</v>
      </c>
      <c r="L123" t="str">
        <f>VLOOKUP(TableTemp2[[#This Row],[Company]],MCompany[],3,FALSE)</f>
        <v>USD</v>
      </c>
      <c r="M123" s="38">
        <f>IF(TableTemp2[[#This Row],[Currency]]="EUR",ROUND(VLOOKUP(MONTH(TableTemp2[[#This Row],[Document Date]]),MExchange[],2,FALSE)*TableTemp2[[#This Row],[Sales Local Currency]],2),ROUND(TableTemp2[[#This Row],[Sales Local Currency]],2))</f>
        <v>2040</v>
      </c>
    </row>
    <row r="124" spans="1:13" x14ac:dyDescent="0.3">
      <c r="A124" s="4" t="s">
        <v>16</v>
      </c>
      <c r="B124">
        <v>66032</v>
      </c>
      <c r="C124" s="24">
        <v>43380</v>
      </c>
      <c r="D124">
        <v>8010</v>
      </c>
      <c r="E124">
        <v>104</v>
      </c>
      <c r="G124">
        <v>140</v>
      </c>
      <c r="H124">
        <v>1680</v>
      </c>
      <c r="I124" s="37" t="str">
        <f>VLOOKUP(A124,MCompany[],2,FALSE)</f>
        <v>Urban Right</v>
      </c>
      <c r="J124" t="str">
        <f>VLOOKUP(TableTemp2[[#This Row],[Customer Code]],MCustomer[],2,FALSE)</f>
        <v>Dellicia</v>
      </c>
      <c r="K124" t="str">
        <f>VLOOKUP(TableTemp2[[#This Row],[Article code]],MArticle[],2,FALSE)</f>
        <v>Women type T simple black</v>
      </c>
      <c r="L124" t="str">
        <f>VLOOKUP(TableTemp2[[#This Row],[Company]],MCompany[],3,FALSE)</f>
        <v>USD</v>
      </c>
      <c r="M124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25" spans="1:13" x14ac:dyDescent="0.3">
      <c r="A125" s="4" t="s">
        <v>16</v>
      </c>
      <c r="B125">
        <v>66031</v>
      </c>
      <c r="C125" s="24">
        <v>43381</v>
      </c>
      <c r="D125">
        <v>8020</v>
      </c>
      <c r="E125">
        <v>103</v>
      </c>
      <c r="F125">
        <v>1</v>
      </c>
      <c r="G125">
        <v>140</v>
      </c>
      <c r="H125">
        <v>1680</v>
      </c>
      <c r="I125" s="37" t="str">
        <f>VLOOKUP(A125,MCompany[],2,FALSE)</f>
        <v>Urban Right</v>
      </c>
      <c r="J125" t="str">
        <f>VLOOKUP(TableTemp2[[#This Row],[Customer Code]],MCustomer[],2,FALSE)</f>
        <v>Erma</v>
      </c>
      <c r="K125" t="str">
        <f>VLOOKUP(TableTemp2[[#This Row],[Article code]],MArticle[],2,FALSE)</f>
        <v>Women type T simple white</v>
      </c>
      <c r="L125" t="str">
        <f>VLOOKUP(TableTemp2[[#This Row],[Company]],MCompany[],3,FALSE)</f>
        <v>USD</v>
      </c>
      <c r="M125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26" spans="1:13" x14ac:dyDescent="0.3">
      <c r="A126" s="4" t="s">
        <v>16</v>
      </c>
      <c r="B126">
        <v>66031</v>
      </c>
      <c r="C126" s="24">
        <v>43381</v>
      </c>
      <c r="D126">
        <v>8020</v>
      </c>
      <c r="E126">
        <v>104</v>
      </c>
      <c r="G126">
        <v>150</v>
      </c>
      <c r="H126">
        <v>1800</v>
      </c>
      <c r="I126" s="37" t="str">
        <f>VLOOKUP(A126,MCompany[],2,FALSE)</f>
        <v>Urban Right</v>
      </c>
      <c r="J126" t="str">
        <f>VLOOKUP(TableTemp2[[#This Row],[Customer Code]],MCustomer[],2,FALSE)</f>
        <v>Erma</v>
      </c>
      <c r="K126" t="str">
        <f>VLOOKUP(TableTemp2[[#This Row],[Article code]],MArticle[],2,FALSE)</f>
        <v>Women type T simple black</v>
      </c>
      <c r="L126" t="str">
        <f>VLOOKUP(TableTemp2[[#This Row],[Company]],MCompany[],3,FALSE)</f>
        <v>USD</v>
      </c>
      <c r="M126" s="38">
        <f>IF(TableTemp2[[#This Row],[Currency]]="EUR",ROUND(VLOOKUP(MONTH(TableTemp2[[#This Row],[Document Date]]),MExchange[],2,FALSE)*TableTemp2[[#This Row],[Sales Local Currency]],2),ROUND(TableTemp2[[#This Row],[Sales Local Currency]],2))</f>
        <v>1800</v>
      </c>
    </row>
    <row r="127" spans="1:13" x14ac:dyDescent="0.3">
      <c r="A127" s="4" t="s">
        <v>16</v>
      </c>
      <c r="B127">
        <v>66031</v>
      </c>
      <c r="C127" s="24">
        <v>43381</v>
      </c>
      <c r="D127">
        <v>8020</v>
      </c>
      <c r="E127">
        <v>105</v>
      </c>
      <c r="G127">
        <v>100</v>
      </c>
      <c r="H127">
        <v>1000</v>
      </c>
      <c r="I127" s="37" t="str">
        <f>VLOOKUP(A127,MCompany[],2,FALSE)</f>
        <v>Urban Right</v>
      </c>
      <c r="J127" t="str">
        <f>VLOOKUP(TableTemp2[[#This Row],[Customer Code]],MCustomer[],2,FALSE)</f>
        <v>Erma</v>
      </c>
      <c r="K127" t="str">
        <f>VLOOKUP(TableTemp2[[#This Row],[Article code]],MArticle[],2,FALSE)</f>
        <v>Women crop top black</v>
      </c>
      <c r="L127" t="str">
        <f>VLOOKUP(TableTemp2[[#This Row],[Company]],MCompany[],3,FALSE)</f>
        <v>USD</v>
      </c>
      <c r="M127" s="38">
        <f>IF(TableTemp2[[#This Row],[Currency]]="EUR",ROUND(VLOOKUP(MONTH(TableTemp2[[#This Row],[Document Date]]),MExchange[],2,FALSE)*TableTemp2[[#This Row],[Sales Local Currency]],2),ROUND(TableTemp2[[#This Row],[Sales Local Currency]],2))</f>
        <v>1000</v>
      </c>
    </row>
    <row r="128" spans="1:13" x14ac:dyDescent="0.3">
      <c r="A128" s="4" t="s">
        <v>16</v>
      </c>
      <c r="B128">
        <v>68112</v>
      </c>
      <c r="C128" s="24">
        <v>43384</v>
      </c>
      <c r="D128">
        <v>8010</v>
      </c>
      <c r="E128">
        <v>104</v>
      </c>
      <c r="F128">
        <v>4</v>
      </c>
      <c r="G128">
        <v>180</v>
      </c>
      <c r="H128">
        <v>2160</v>
      </c>
      <c r="I128" s="37" t="str">
        <f>VLOOKUP(A128,MCompany[],2,FALSE)</f>
        <v>Urban Right</v>
      </c>
      <c r="J128" t="str">
        <f>VLOOKUP(TableTemp2[[#This Row],[Customer Code]],MCustomer[],2,FALSE)</f>
        <v>Dellicia</v>
      </c>
      <c r="K128" t="str">
        <f>VLOOKUP(TableTemp2[[#This Row],[Article code]],MArticle[],2,FALSE)</f>
        <v>Women type T simple black</v>
      </c>
      <c r="L128" t="str">
        <f>VLOOKUP(TableTemp2[[#This Row],[Company]],MCompany[],3,FALSE)</f>
        <v>USD</v>
      </c>
      <c r="M128" s="38">
        <f>IF(TableTemp2[[#This Row],[Currency]]="EUR",ROUND(VLOOKUP(MONTH(TableTemp2[[#This Row],[Document Date]]),MExchange[],2,FALSE)*TableTemp2[[#This Row],[Sales Local Currency]],2),ROUND(TableTemp2[[#This Row],[Sales Local Currency]],2))</f>
        <v>2160</v>
      </c>
    </row>
    <row r="129" spans="1:13" x14ac:dyDescent="0.3">
      <c r="A129" s="4" t="s">
        <v>16</v>
      </c>
      <c r="B129">
        <v>68112</v>
      </c>
      <c r="C129" s="24">
        <v>43384</v>
      </c>
      <c r="D129">
        <v>8010</v>
      </c>
      <c r="E129">
        <v>105</v>
      </c>
      <c r="G129">
        <v>120</v>
      </c>
      <c r="H129">
        <v>1200</v>
      </c>
      <c r="I129" s="37" t="str">
        <f>VLOOKUP(A129,MCompany[],2,FALSE)</f>
        <v>Urban Right</v>
      </c>
      <c r="J129" t="str">
        <f>VLOOKUP(TableTemp2[[#This Row],[Customer Code]],MCustomer[],2,FALSE)</f>
        <v>Dellicia</v>
      </c>
      <c r="K129" t="str">
        <f>VLOOKUP(TableTemp2[[#This Row],[Article code]],MArticle[],2,FALSE)</f>
        <v>Women crop top black</v>
      </c>
      <c r="L129" t="str">
        <f>VLOOKUP(TableTemp2[[#This Row],[Company]],MCompany[],3,FALSE)</f>
        <v>USD</v>
      </c>
      <c r="M129" s="38">
        <f>IF(TableTemp2[[#This Row],[Currency]]="EUR",ROUND(VLOOKUP(MONTH(TableTemp2[[#This Row],[Document Date]]),MExchange[],2,FALSE)*TableTemp2[[#This Row],[Sales Local Currency]],2),ROUND(TableTemp2[[#This Row],[Sales Local Currency]],2))</f>
        <v>1200</v>
      </c>
    </row>
    <row r="130" spans="1:13" x14ac:dyDescent="0.3">
      <c r="A130" s="4" t="s">
        <v>16</v>
      </c>
      <c r="B130">
        <v>68116</v>
      </c>
      <c r="C130" s="24">
        <v>43384</v>
      </c>
      <c r="D130">
        <v>8020</v>
      </c>
      <c r="E130">
        <v>104</v>
      </c>
      <c r="G130">
        <v>150</v>
      </c>
      <c r="H130">
        <v>1800</v>
      </c>
      <c r="I130" s="37" t="str">
        <f>VLOOKUP(A130,MCompany[],2,FALSE)</f>
        <v>Urban Right</v>
      </c>
      <c r="J130" t="str">
        <f>VLOOKUP(TableTemp2[[#This Row],[Customer Code]],MCustomer[],2,FALSE)</f>
        <v>Erma</v>
      </c>
      <c r="K130" t="str">
        <f>VLOOKUP(TableTemp2[[#This Row],[Article code]],MArticle[],2,FALSE)</f>
        <v>Women type T simple black</v>
      </c>
      <c r="L130" t="str">
        <f>VLOOKUP(TableTemp2[[#This Row],[Company]],MCompany[],3,FALSE)</f>
        <v>USD</v>
      </c>
      <c r="M130" s="38">
        <f>IF(TableTemp2[[#This Row],[Currency]]="EUR",ROUND(VLOOKUP(MONTH(TableTemp2[[#This Row],[Document Date]]),MExchange[],2,FALSE)*TableTemp2[[#This Row],[Sales Local Currency]],2),ROUND(TableTemp2[[#This Row],[Sales Local Currency]],2))</f>
        <v>1800</v>
      </c>
    </row>
    <row r="131" spans="1:13" x14ac:dyDescent="0.3">
      <c r="A131" s="4" t="s">
        <v>16</v>
      </c>
      <c r="B131">
        <v>68116</v>
      </c>
      <c r="C131" s="24">
        <v>43384</v>
      </c>
      <c r="D131">
        <v>8020</v>
      </c>
      <c r="E131">
        <v>105</v>
      </c>
      <c r="G131">
        <v>190</v>
      </c>
      <c r="H131">
        <v>1900</v>
      </c>
      <c r="I131" s="37" t="str">
        <f>VLOOKUP(A131,MCompany[],2,FALSE)</f>
        <v>Urban Right</v>
      </c>
      <c r="J131" t="str">
        <f>VLOOKUP(TableTemp2[[#This Row],[Customer Code]],MCustomer[],2,FALSE)</f>
        <v>Erma</v>
      </c>
      <c r="K131" t="str">
        <f>VLOOKUP(TableTemp2[[#This Row],[Article code]],MArticle[],2,FALSE)</f>
        <v>Women crop top black</v>
      </c>
      <c r="L131" t="str">
        <f>VLOOKUP(TableTemp2[[#This Row],[Company]],MCompany[],3,FALSE)</f>
        <v>USD</v>
      </c>
      <c r="M131" s="38">
        <f>IF(TableTemp2[[#This Row],[Currency]]="EUR",ROUND(VLOOKUP(MONTH(TableTemp2[[#This Row],[Document Date]]),MExchange[],2,FALSE)*TableTemp2[[#This Row],[Sales Local Currency]],2),ROUND(TableTemp2[[#This Row],[Sales Local Currency]],2))</f>
        <v>1900</v>
      </c>
    </row>
    <row r="132" spans="1:13" x14ac:dyDescent="0.3">
      <c r="A132" s="4" t="s">
        <v>16</v>
      </c>
      <c r="B132">
        <v>68116</v>
      </c>
      <c r="C132" s="24">
        <v>43384</v>
      </c>
      <c r="D132">
        <v>8020</v>
      </c>
      <c r="E132">
        <v>107</v>
      </c>
      <c r="F132">
        <v>2</v>
      </c>
      <c r="G132">
        <v>160</v>
      </c>
      <c r="H132">
        <v>800</v>
      </c>
      <c r="I132" s="37" t="str">
        <f>VLOOKUP(A132,MCompany[],2,FALSE)</f>
        <v>Urban Right</v>
      </c>
      <c r="J132" t="str">
        <f>VLOOKUP(TableTemp2[[#This Row],[Customer Code]],MCustomer[],2,FALSE)</f>
        <v>Erma</v>
      </c>
      <c r="K132" t="str">
        <f>VLOOKUP(TableTemp2[[#This Row],[Article code]],MArticle[],2,FALSE)</f>
        <v>Women basics</v>
      </c>
      <c r="L132" t="str">
        <f>VLOOKUP(TableTemp2[[#This Row],[Company]],MCompany[],3,FALSE)</f>
        <v>USD</v>
      </c>
      <c r="M132" s="38">
        <f>IF(TableTemp2[[#This Row],[Currency]]="EUR",ROUND(VLOOKUP(MONTH(TableTemp2[[#This Row],[Document Date]]),MExchange[],2,FALSE)*TableTemp2[[#This Row],[Sales Local Currency]],2),ROUND(TableTemp2[[#This Row],[Sales Local Currency]],2))</f>
        <v>800</v>
      </c>
    </row>
    <row r="133" spans="1:13" x14ac:dyDescent="0.3">
      <c r="A133" s="4" t="s">
        <v>16</v>
      </c>
      <c r="B133">
        <v>68116</v>
      </c>
      <c r="C133" s="24">
        <v>43384</v>
      </c>
      <c r="D133">
        <v>8010</v>
      </c>
      <c r="E133">
        <v>104</v>
      </c>
      <c r="G133">
        <v>160</v>
      </c>
      <c r="H133">
        <v>1920</v>
      </c>
      <c r="I133" s="37" t="str">
        <f>VLOOKUP(A133,MCompany[],2,FALSE)</f>
        <v>Urban Right</v>
      </c>
      <c r="J133" t="str">
        <f>VLOOKUP(TableTemp2[[#This Row],[Customer Code]],MCustomer[],2,FALSE)</f>
        <v>Dellicia</v>
      </c>
      <c r="K133" t="str">
        <f>VLOOKUP(TableTemp2[[#This Row],[Article code]],MArticle[],2,FALSE)</f>
        <v>Women type T simple black</v>
      </c>
      <c r="L133" t="str">
        <f>VLOOKUP(TableTemp2[[#This Row],[Company]],MCompany[],3,FALSE)</f>
        <v>USD</v>
      </c>
      <c r="M133" s="38">
        <f>IF(TableTemp2[[#This Row],[Currency]]="EUR",ROUND(VLOOKUP(MONTH(TableTemp2[[#This Row],[Document Date]]),MExchange[],2,FALSE)*TableTemp2[[#This Row],[Sales Local Currency]],2),ROUND(TableTemp2[[#This Row],[Sales Local Currency]],2))</f>
        <v>1920</v>
      </c>
    </row>
    <row r="134" spans="1:13" x14ac:dyDescent="0.3">
      <c r="A134" s="4" t="s">
        <v>16</v>
      </c>
      <c r="B134">
        <v>68116</v>
      </c>
      <c r="C134" s="24">
        <v>43384</v>
      </c>
      <c r="D134">
        <v>8010</v>
      </c>
      <c r="E134">
        <v>105</v>
      </c>
      <c r="G134">
        <v>190</v>
      </c>
      <c r="H134">
        <v>1900</v>
      </c>
      <c r="I134" s="37" t="str">
        <f>VLOOKUP(A134,MCompany[],2,FALSE)</f>
        <v>Urban Right</v>
      </c>
      <c r="J134" t="str">
        <f>VLOOKUP(TableTemp2[[#This Row],[Customer Code]],MCustomer[],2,FALSE)</f>
        <v>Dellicia</v>
      </c>
      <c r="K134" t="str">
        <f>VLOOKUP(TableTemp2[[#This Row],[Article code]],MArticle[],2,FALSE)</f>
        <v>Women crop top black</v>
      </c>
      <c r="L134" t="str">
        <f>VLOOKUP(TableTemp2[[#This Row],[Company]],MCompany[],3,FALSE)</f>
        <v>USD</v>
      </c>
      <c r="M134" s="38">
        <f>IF(TableTemp2[[#This Row],[Currency]]="EUR",ROUND(VLOOKUP(MONTH(TableTemp2[[#This Row],[Document Date]]),MExchange[],2,FALSE)*TableTemp2[[#This Row],[Sales Local Currency]],2),ROUND(TableTemp2[[#This Row],[Sales Local Currency]],2))</f>
        <v>1900</v>
      </c>
    </row>
    <row r="135" spans="1:13" x14ac:dyDescent="0.3">
      <c r="A135" s="4" t="s">
        <v>16</v>
      </c>
      <c r="B135">
        <v>65662</v>
      </c>
      <c r="C135" s="24">
        <v>43388</v>
      </c>
      <c r="D135">
        <v>8020</v>
      </c>
      <c r="E135">
        <v>103</v>
      </c>
      <c r="G135">
        <v>120</v>
      </c>
      <c r="H135">
        <v>1440</v>
      </c>
      <c r="I135" s="37" t="str">
        <f>VLOOKUP(A135,MCompany[],2,FALSE)</f>
        <v>Urban Right</v>
      </c>
      <c r="J135" t="str">
        <f>VLOOKUP(TableTemp2[[#This Row],[Customer Code]],MCustomer[],2,FALSE)</f>
        <v>Erma</v>
      </c>
      <c r="K135" t="str">
        <f>VLOOKUP(TableTemp2[[#This Row],[Article code]],MArticle[],2,FALSE)</f>
        <v>Women type T simple white</v>
      </c>
      <c r="L135" t="str">
        <f>VLOOKUP(TableTemp2[[#This Row],[Company]],MCompany[],3,FALSE)</f>
        <v>USD</v>
      </c>
      <c r="M135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36" spans="1:13" x14ac:dyDescent="0.3">
      <c r="A136" s="4" t="s">
        <v>16</v>
      </c>
      <c r="B136">
        <v>65662</v>
      </c>
      <c r="C136" s="24">
        <v>43388</v>
      </c>
      <c r="D136">
        <v>8020</v>
      </c>
      <c r="E136">
        <v>104</v>
      </c>
      <c r="G136">
        <v>110</v>
      </c>
      <c r="H136">
        <v>1320</v>
      </c>
      <c r="I136" s="37" t="str">
        <f>VLOOKUP(A136,MCompany[],2,FALSE)</f>
        <v>Urban Right</v>
      </c>
      <c r="J136" t="str">
        <f>VLOOKUP(TableTemp2[[#This Row],[Customer Code]],MCustomer[],2,FALSE)</f>
        <v>Erma</v>
      </c>
      <c r="K136" t="str">
        <f>VLOOKUP(TableTemp2[[#This Row],[Article code]],MArticle[],2,FALSE)</f>
        <v>Women type T simple black</v>
      </c>
      <c r="L136" t="str">
        <f>VLOOKUP(TableTemp2[[#This Row],[Company]],MCompany[],3,FALSE)</f>
        <v>USD</v>
      </c>
      <c r="M136" s="38">
        <f>IF(TableTemp2[[#This Row],[Currency]]="EUR",ROUND(VLOOKUP(MONTH(TableTemp2[[#This Row],[Document Date]]),MExchange[],2,FALSE)*TableTemp2[[#This Row],[Sales Local Currency]],2),ROUND(TableTemp2[[#This Row],[Sales Local Currency]],2))</f>
        <v>1320</v>
      </c>
    </row>
    <row r="137" spans="1:13" x14ac:dyDescent="0.3">
      <c r="A137" s="4" t="s">
        <v>16</v>
      </c>
      <c r="B137">
        <v>65666</v>
      </c>
      <c r="C137" s="24">
        <v>43388</v>
      </c>
      <c r="D137">
        <v>8010</v>
      </c>
      <c r="E137">
        <v>103</v>
      </c>
      <c r="G137">
        <v>120</v>
      </c>
      <c r="H137">
        <v>1440</v>
      </c>
      <c r="I137" s="37" t="str">
        <f>VLOOKUP(A137,MCompany[],2,FALSE)</f>
        <v>Urban Right</v>
      </c>
      <c r="J137" t="str">
        <f>VLOOKUP(TableTemp2[[#This Row],[Customer Code]],MCustomer[],2,FALSE)</f>
        <v>Dellicia</v>
      </c>
      <c r="K137" t="str">
        <f>VLOOKUP(TableTemp2[[#This Row],[Article code]],MArticle[],2,FALSE)</f>
        <v>Women type T simple white</v>
      </c>
      <c r="L137" t="str">
        <f>VLOOKUP(TableTemp2[[#This Row],[Company]],MCompany[],3,FALSE)</f>
        <v>USD</v>
      </c>
      <c r="M137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38" spans="1:13" x14ac:dyDescent="0.3">
      <c r="A138" s="4" t="s">
        <v>16</v>
      </c>
      <c r="B138">
        <v>65666</v>
      </c>
      <c r="C138" s="24">
        <v>43388</v>
      </c>
      <c r="D138">
        <v>8010</v>
      </c>
      <c r="E138">
        <v>104</v>
      </c>
      <c r="G138">
        <v>140</v>
      </c>
      <c r="H138">
        <v>1680</v>
      </c>
      <c r="I138" s="37" t="str">
        <f>VLOOKUP(A138,MCompany[],2,FALSE)</f>
        <v>Urban Right</v>
      </c>
      <c r="J138" t="str">
        <f>VLOOKUP(TableTemp2[[#This Row],[Customer Code]],MCustomer[],2,FALSE)</f>
        <v>Dellicia</v>
      </c>
      <c r="K138" t="str">
        <f>VLOOKUP(TableTemp2[[#This Row],[Article code]],MArticle[],2,FALSE)</f>
        <v>Women type T simple black</v>
      </c>
      <c r="L138" t="str">
        <f>VLOOKUP(TableTemp2[[#This Row],[Company]],MCompany[],3,FALSE)</f>
        <v>USD</v>
      </c>
      <c r="M138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39" spans="1:13" x14ac:dyDescent="0.3">
      <c r="A139" s="4" t="s">
        <v>16</v>
      </c>
      <c r="B139">
        <v>65666</v>
      </c>
      <c r="C139" s="24">
        <v>43388</v>
      </c>
      <c r="D139">
        <v>8010</v>
      </c>
      <c r="E139">
        <v>105</v>
      </c>
      <c r="G139">
        <v>160</v>
      </c>
      <c r="H139">
        <v>1600</v>
      </c>
      <c r="I139" s="37" t="str">
        <f>VLOOKUP(A139,MCompany[],2,FALSE)</f>
        <v>Urban Right</v>
      </c>
      <c r="J139" t="str">
        <f>VLOOKUP(TableTemp2[[#This Row],[Customer Code]],MCustomer[],2,FALSE)</f>
        <v>Dellicia</v>
      </c>
      <c r="K139" t="str">
        <f>VLOOKUP(TableTemp2[[#This Row],[Article code]],MArticle[],2,FALSE)</f>
        <v>Women crop top black</v>
      </c>
      <c r="L139" t="str">
        <f>VLOOKUP(TableTemp2[[#This Row],[Company]],MCompany[],3,FALSE)</f>
        <v>USD</v>
      </c>
      <c r="M139" s="38">
        <f>IF(TableTemp2[[#This Row],[Currency]]="EUR",ROUND(VLOOKUP(MONTH(TableTemp2[[#This Row],[Document Date]]),MExchange[],2,FALSE)*TableTemp2[[#This Row],[Sales Local Currency]],2),ROUND(TableTemp2[[#This Row],[Sales Local Currency]],2))</f>
        <v>1600</v>
      </c>
    </row>
    <row r="140" spans="1:13" x14ac:dyDescent="0.3">
      <c r="A140" s="4" t="s">
        <v>16</v>
      </c>
      <c r="B140">
        <v>65666</v>
      </c>
      <c r="C140" s="24">
        <v>43388</v>
      </c>
      <c r="D140">
        <v>8020</v>
      </c>
      <c r="E140">
        <v>107</v>
      </c>
      <c r="G140">
        <v>120</v>
      </c>
      <c r="H140">
        <v>600</v>
      </c>
      <c r="I140" s="37" t="str">
        <f>VLOOKUP(A140,MCompany[],2,FALSE)</f>
        <v>Urban Right</v>
      </c>
      <c r="J140" t="str">
        <f>VLOOKUP(TableTemp2[[#This Row],[Customer Code]],MCustomer[],2,FALSE)</f>
        <v>Erma</v>
      </c>
      <c r="K140" t="str">
        <f>VLOOKUP(TableTemp2[[#This Row],[Article code]],MArticle[],2,FALSE)</f>
        <v>Women basics</v>
      </c>
      <c r="L140" t="str">
        <f>VLOOKUP(TableTemp2[[#This Row],[Company]],MCompany[],3,FALSE)</f>
        <v>USD</v>
      </c>
      <c r="M140" s="38">
        <f>IF(TableTemp2[[#This Row],[Currency]]="EUR",ROUND(VLOOKUP(MONTH(TableTemp2[[#This Row],[Document Date]]),MExchange[],2,FALSE)*TableTemp2[[#This Row],[Sales Local Currency]],2),ROUND(TableTemp2[[#This Row],[Sales Local Currency]],2))</f>
        <v>600</v>
      </c>
    </row>
    <row r="141" spans="1:13" x14ac:dyDescent="0.3">
      <c r="A141" s="4" t="s">
        <v>16</v>
      </c>
      <c r="B141">
        <v>65666</v>
      </c>
      <c r="C141" s="24">
        <v>43388</v>
      </c>
      <c r="D141">
        <v>8020</v>
      </c>
      <c r="E141">
        <v>103</v>
      </c>
      <c r="G141">
        <v>200</v>
      </c>
      <c r="H141">
        <v>2400</v>
      </c>
      <c r="I141" s="37" t="str">
        <f>VLOOKUP(A141,MCompany[],2,FALSE)</f>
        <v>Urban Right</v>
      </c>
      <c r="J141" t="str">
        <f>VLOOKUP(TableTemp2[[#This Row],[Customer Code]],MCustomer[],2,FALSE)</f>
        <v>Erma</v>
      </c>
      <c r="K141" t="str">
        <f>VLOOKUP(TableTemp2[[#This Row],[Article code]],MArticle[],2,FALSE)</f>
        <v>Women type T simple white</v>
      </c>
      <c r="L141" t="str">
        <f>VLOOKUP(TableTemp2[[#This Row],[Company]],MCompany[],3,FALSE)</f>
        <v>USD</v>
      </c>
      <c r="M141" s="38">
        <f>IF(TableTemp2[[#This Row],[Currency]]="EUR",ROUND(VLOOKUP(MONTH(TableTemp2[[#This Row],[Document Date]]),MExchange[],2,FALSE)*TableTemp2[[#This Row],[Sales Local Currency]],2),ROUND(TableTemp2[[#This Row],[Sales Local Currency]],2))</f>
        <v>2400</v>
      </c>
    </row>
    <row r="142" spans="1:13" x14ac:dyDescent="0.3">
      <c r="A142" s="4" t="s">
        <v>16</v>
      </c>
      <c r="B142">
        <v>66015</v>
      </c>
      <c r="C142" s="24">
        <v>43383</v>
      </c>
      <c r="D142">
        <v>8010</v>
      </c>
      <c r="E142">
        <v>103</v>
      </c>
      <c r="G142">
        <v>140</v>
      </c>
      <c r="H142">
        <v>1680</v>
      </c>
      <c r="I142" s="37" t="str">
        <f>VLOOKUP(A142,MCompany[],2,FALSE)</f>
        <v>Urban Right</v>
      </c>
      <c r="J142" t="str">
        <f>VLOOKUP(TableTemp2[[#This Row],[Customer Code]],MCustomer[],2,FALSE)</f>
        <v>Dellicia</v>
      </c>
      <c r="K142" t="str">
        <f>VLOOKUP(TableTemp2[[#This Row],[Article code]],MArticle[],2,FALSE)</f>
        <v>Women type T simple white</v>
      </c>
      <c r="L142" t="str">
        <f>VLOOKUP(TableTemp2[[#This Row],[Company]],MCompany[],3,FALSE)</f>
        <v>USD</v>
      </c>
      <c r="M142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43" spans="1:13" x14ac:dyDescent="0.3">
      <c r="A143" s="4" t="s">
        <v>16</v>
      </c>
      <c r="B143">
        <v>66015</v>
      </c>
      <c r="C143" s="24">
        <v>43383</v>
      </c>
      <c r="D143">
        <v>8010</v>
      </c>
      <c r="E143">
        <v>104</v>
      </c>
      <c r="G143">
        <v>140</v>
      </c>
      <c r="H143">
        <v>1680</v>
      </c>
      <c r="I143" s="37" t="str">
        <f>VLOOKUP(A143,MCompany[],2,FALSE)</f>
        <v>Urban Right</v>
      </c>
      <c r="J143" t="str">
        <f>VLOOKUP(TableTemp2[[#This Row],[Customer Code]],MCustomer[],2,FALSE)</f>
        <v>Dellicia</v>
      </c>
      <c r="K143" t="str">
        <f>VLOOKUP(TableTemp2[[#This Row],[Article code]],MArticle[],2,FALSE)</f>
        <v>Women type T simple black</v>
      </c>
      <c r="L143" t="str">
        <f>VLOOKUP(TableTemp2[[#This Row],[Company]],MCompany[],3,FALSE)</f>
        <v>USD</v>
      </c>
      <c r="M143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44" spans="1:13" x14ac:dyDescent="0.3">
      <c r="A144" s="4" t="s">
        <v>16</v>
      </c>
      <c r="B144">
        <v>66017</v>
      </c>
      <c r="C144" s="24">
        <v>43386</v>
      </c>
      <c r="D144">
        <v>8010</v>
      </c>
      <c r="E144">
        <v>103</v>
      </c>
      <c r="G144">
        <v>140</v>
      </c>
      <c r="H144">
        <v>1680</v>
      </c>
      <c r="I144" s="37" t="str">
        <f>VLOOKUP(A144,MCompany[],2,FALSE)</f>
        <v>Urban Right</v>
      </c>
      <c r="J144" t="str">
        <f>VLOOKUP(TableTemp2[[#This Row],[Customer Code]],MCustomer[],2,FALSE)</f>
        <v>Dellicia</v>
      </c>
      <c r="K144" t="str">
        <f>VLOOKUP(TableTemp2[[#This Row],[Article code]],MArticle[],2,FALSE)</f>
        <v>Women type T simple white</v>
      </c>
      <c r="L144" t="str">
        <f>VLOOKUP(TableTemp2[[#This Row],[Company]],MCompany[],3,FALSE)</f>
        <v>USD</v>
      </c>
      <c r="M144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45" spans="1:13" x14ac:dyDescent="0.3">
      <c r="A145" s="4" t="s">
        <v>16</v>
      </c>
      <c r="B145">
        <v>66017</v>
      </c>
      <c r="C145" s="24">
        <v>43386</v>
      </c>
      <c r="D145">
        <v>8010</v>
      </c>
      <c r="E145">
        <v>104</v>
      </c>
      <c r="G145">
        <v>140</v>
      </c>
      <c r="H145">
        <v>1680</v>
      </c>
      <c r="I145" s="37" t="str">
        <f>VLOOKUP(A145,MCompany[],2,FALSE)</f>
        <v>Urban Right</v>
      </c>
      <c r="J145" t="str">
        <f>VLOOKUP(TableTemp2[[#This Row],[Customer Code]],MCustomer[],2,FALSE)</f>
        <v>Dellicia</v>
      </c>
      <c r="K145" t="str">
        <f>VLOOKUP(TableTemp2[[#This Row],[Article code]],MArticle[],2,FALSE)</f>
        <v>Women type T simple black</v>
      </c>
      <c r="L145" t="str">
        <f>VLOOKUP(TableTemp2[[#This Row],[Company]],MCompany[],3,FALSE)</f>
        <v>USD</v>
      </c>
      <c r="M145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46" spans="1:13" x14ac:dyDescent="0.3">
      <c r="A146" s="4" t="s">
        <v>16</v>
      </c>
      <c r="B146">
        <v>66016</v>
      </c>
      <c r="C146" s="24">
        <v>43387</v>
      </c>
      <c r="D146">
        <v>8020</v>
      </c>
      <c r="E146">
        <v>103</v>
      </c>
      <c r="G146">
        <v>120</v>
      </c>
      <c r="H146">
        <v>1440</v>
      </c>
      <c r="I146" s="37" t="str">
        <f>VLOOKUP(A146,MCompany[],2,FALSE)</f>
        <v>Urban Right</v>
      </c>
      <c r="J146" t="str">
        <f>VLOOKUP(TableTemp2[[#This Row],[Customer Code]],MCustomer[],2,FALSE)</f>
        <v>Erma</v>
      </c>
      <c r="K146" t="str">
        <f>VLOOKUP(TableTemp2[[#This Row],[Article code]],MArticle[],2,FALSE)</f>
        <v>Women type T simple white</v>
      </c>
      <c r="L146" t="str">
        <f>VLOOKUP(TableTemp2[[#This Row],[Company]],MCompany[],3,FALSE)</f>
        <v>USD</v>
      </c>
      <c r="M146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47" spans="1:13" x14ac:dyDescent="0.3">
      <c r="A147" s="4" t="s">
        <v>16</v>
      </c>
      <c r="B147">
        <v>66016</v>
      </c>
      <c r="C147" s="24">
        <v>43387</v>
      </c>
      <c r="D147">
        <v>8020</v>
      </c>
      <c r="E147">
        <v>104</v>
      </c>
      <c r="G147">
        <v>130</v>
      </c>
      <c r="H147">
        <v>1560</v>
      </c>
      <c r="I147" s="37" t="str">
        <f>VLOOKUP(A147,MCompany[],2,FALSE)</f>
        <v>Urban Right</v>
      </c>
      <c r="J147" t="str">
        <f>VLOOKUP(TableTemp2[[#This Row],[Customer Code]],MCustomer[],2,FALSE)</f>
        <v>Erma</v>
      </c>
      <c r="K147" t="str">
        <f>VLOOKUP(TableTemp2[[#This Row],[Article code]],MArticle[],2,FALSE)</f>
        <v>Women type T simple black</v>
      </c>
      <c r="L147" t="str">
        <f>VLOOKUP(TableTemp2[[#This Row],[Company]],MCompany[],3,FALSE)</f>
        <v>USD</v>
      </c>
      <c r="M147" s="38">
        <f>IF(TableTemp2[[#This Row],[Currency]]="EUR",ROUND(VLOOKUP(MONTH(TableTemp2[[#This Row],[Document Date]]),MExchange[],2,FALSE)*TableTemp2[[#This Row],[Sales Local Currency]],2),ROUND(TableTemp2[[#This Row],[Sales Local Currency]],2))</f>
        <v>1560</v>
      </c>
    </row>
    <row r="148" spans="1:13" x14ac:dyDescent="0.3">
      <c r="A148" s="4" t="s">
        <v>16</v>
      </c>
      <c r="B148">
        <v>66016</v>
      </c>
      <c r="C148" s="24">
        <v>43387</v>
      </c>
      <c r="D148">
        <v>8020</v>
      </c>
      <c r="E148">
        <v>105</v>
      </c>
      <c r="G148">
        <v>120</v>
      </c>
      <c r="H148">
        <v>1200</v>
      </c>
      <c r="I148" s="37" t="str">
        <f>VLOOKUP(A148,MCompany[],2,FALSE)</f>
        <v>Urban Right</v>
      </c>
      <c r="J148" t="str">
        <f>VLOOKUP(TableTemp2[[#This Row],[Customer Code]],MCustomer[],2,FALSE)</f>
        <v>Erma</v>
      </c>
      <c r="K148" t="str">
        <f>VLOOKUP(TableTemp2[[#This Row],[Article code]],MArticle[],2,FALSE)</f>
        <v>Women crop top black</v>
      </c>
      <c r="L148" t="str">
        <f>VLOOKUP(TableTemp2[[#This Row],[Company]],MCompany[],3,FALSE)</f>
        <v>USD</v>
      </c>
      <c r="M148" s="38">
        <f>IF(TableTemp2[[#This Row],[Currency]]="EUR",ROUND(VLOOKUP(MONTH(TableTemp2[[#This Row],[Document Date]]),MExchange[],2,FALSE)*TableTemp2[[#This Row],[Sales Local Currency]],2),ROUND(TableTemp2[[#This Row],[Sales Local Currency]],2))</f>
        <v>1200</v>
      </c>
    </row>
    <row r="149" spans="1:13" x14ac:dyDescent="0.3">
      <c r="A149" s="4" t="s">
        <v>16</v>
      </c>
      <c r="B149">
        <v>68097</v>
      </c>
      <c r="C149" s="24">
        <v>43390</v>
      </c>
      <c r="D149">
        <v>8010</v>
      </c>
      <c r="E149">
        <v>104</v>
      </c>
      <c r="G149">
        <v>140</v>
      </c>
      <c r="H149">
        <v>1680</v>
      </c>
      <c r="I149" s="37" t="str">
        <f>VLOOKUP(A149,MCompany[],2,FALSE)</f>
        <v>Urban Right</v>
      </c>
      <c r="J149" t="str">
        <f>VLOOKUP(TableTemp2[[#This Row],[Customer Code]],MCustomer[],2,FALSE)</f>
        <v>Dellicia</v>
      </c>
      <c r="K149" t="str">
        <f>VLOOKUP(TableTemp2[[#This Row],[Article code]],MArticle[],2,FALSE)</f>
        <v>Women type T simple black</v>
      </c>
      <c r="L149" t="str">
        <f>VLOOKUP(TableTemp2[[#This Row],[Company]],MCompany[],3,FALSE)</f>
        <v>USD</v>
      </c>
      <c r="M149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50" spans="1:13" x14ac:dyDescent="0.3">
      <c r="A150" s="4" t="s">
        <v>16</v>
      </c>
      <c r="B150">
        <v>68097</v>
      </c>
      <c r="C150" s="24">
        <v>43390</v>
      </c>
      <c r="D150">
        <v>8010</v>
      </c>
      <c r="E150">
        <v>105</v>
      </c>
      <c r="G150">
        <v>130</v>
      </c>
      <c r="H150">
        <v>1300</v>
      </c>
      <c r="I150" s="37" t="str">
        <f>VLOOKUP(A150,MCompany[],2,FALSE)</f>
        <v>Urban Right</v>
      </c>
      <c r="J150" t="str">
        <f>VLOOKUP(TableTemp2[[#This Row],[Customer Code]],MCustomer[],2,FALSE)</f>
        <v>Dellicia</v>
      </c>
      <c r="K150" t="str">
        <f>VLOOKUP(TableTemp2[[#This Row],[Article code]],MArticle[],2,FALSE)</f>
        <v>Women crop top black</v>
      </c>
      <c r="L150" t="str">
        <f>VLOOKUP(TableTemp2[[#This Row],[Company]],MCompany[],3,FALSE)</f>
        <v>USD</v>
      </c>
      <c r="M150" s="38">
        <f>IF(TableTemp2[[#This Row],[Currency]]="EUR",ROUND(VLOOKUP(MONTH(TableTemp2[[#This Row],[Document Date]]),MExchange[],2,FALSE)*TableTemp2[[#This Row],[Sales Local Currency]],2),ROUND(TableTemp2[[#This Row],[Sales Local Currency]],2))</f>
        <v>1300</v>
      </c>
    </row>
    <row r="151" spans="1:13" x14ac:dyDescent="0.3">
      <c r="A151" s="4" t="s">
        <v>16</v>
      </c>
      <c r="B151">
        <v>68099</v>
      </c>
      <c r="C151" s="24">
        <v>43390</v>
      </c>
      <c r="D151">
        <v>8020</v>
      </c>
      <c r="E151">
        <v>104</v>
      </c>
      <c r="G151">
        <v>120</v>
      </c>
      <c r="H151">
        <v>1440</v>
      </c>
      <c r="I151" s="37" t="str">
        <f>VLOOKUP(A151,MCompany[],2,FALSE)</f>
        <v>Urban Right</v>
      </c>
      <c r="J151" t="str">
        <f>VLOOKUP(TableTemp2[[#This Row],[Customer Code]],MCustomer[],2,FALSE)</f>
        <v>Erma</v>
      </c>
      <c r="K151" t="str">
        <f>VLOOKUP(TableTemp2[[#This Row],[Article code]],MArticle[],2,FALSE)</f>
        <v>Women type T simple black</v>
      </c>
      <c r="L151" t="str">
        <f>VLOOKUP(TableTemp2[[#This Row],[Company]],MCompany[],3,FALSE)</f>
        <v>USD</v>
      </c>
      <c r="M151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  <row r="152" spans="1:13" x14ac:dyDescent="0.3">
      <c r="A152" s="4" t="s">
        <v>16</v>
      </c>
      <c r="B152">
        <v>68099</v>
      </c>
      <c r="C152" s="24">
        <v>43390</v>
      </c>
      <c r="D152">
        <v>8020</v>
      </c>
      <c r="E152">
        <v>105</v>
      </c>
      <c r="F152">
        <v>2</v>
      </c>
      <c r="G152">
        <v>140</v>
      </c>
      <c r="H152">
        <v>1400</v>
      </c>
      <c r="I152" s="37" t="str">
        <f>VLOOKUP(A152,MCompany[],2,FALSE)</f>
        <v>Urban Right</v>
      </c>
      <c r="J152" t="str">
        <f>VLOOKUP(TableTemp2[[#This Row],[Customer Code]],MCustomer[],2,FALSE)</f>
        <v>Erma</v>
      </c>
      <c r="K152" t="str">
        <f>VLOOKUP(TableTemp2[[#This Row],[Article code]],MArticle[],2,FALSE)</f>
        <v>Women crop top black</v>
      </c>
      <c r="L152" t="str">
        <f>VLOOKUP(TableTemp2[[#This Row],[Company]],MCompany[],3,FALSE)</f>
        <v>USD</v>
      </c>
      <c r="M152" s="38">
        <f>IF(TableTemp2[[#This Row],[Currency]]="EUR",ROUND(VLOOKUP(MONTH(TableTemp2[[#This Row],[Document Date]]),MExchange[],2,FALSE)*TableTemp2[[#This Row],[Sales Local Currency]],2),ROUND(TableTemp2[[#This Row],[Sales Local Currency]],2))</f>
        <v>1400</v>
      </c>
    </row>
    <row r="153" spans="1:13" x14ac:dyDescent="0.3">
      <c r="A153" s="4" t="s">
        <v>16</v>
      </c>
      <c r="B153">
        <v>68099</v>
      </c>
      <c r="C153" s="24">
        <v>43390</v>
      </c>
      <c r="D153">
        <v>8020</v>
      </c>
      <c r="E153">
        <v>107</v>
      </c>
      <c r="G153">
        <v>170</v>
      </c>
      <c r="H153">
        <v>850</v>
      </c>
      <c r="I153" s="37" t="str">
        <f>VLOOKUP(A153,MCompany[],2,FALSE)</f>
        <v>Urban Right</v>
      </c>
      <c r="J153" t="str">
        <f>VLOOKUP(TableTemp2[[#This Row],[Customer Code]],MCustomer[],2,FALSE)</f>
        <v>Erma</v>
      </c>
      <c r="K153" t="str">
        <f>VLOOKUP(TableTemp2[[#This Row],[Article code]],MArticle[],2,FALSE)</f>
        <v>Women basics</v>
      </c>
      <c r="L153" t="str">
        <f>VLOOKUP(TableTemp2[[#This Row],[Company]],MCompany[],3,FALSE)</f>
        <v>USD</v>
      </c>
      <c r="M153" s="38">
        <f>IF(TableTemp2[[#This Row],[Currency]]="EUR",ROUND(VLOOKUP(MONTH(TableTemp2[[#This Row],[Document Date]]),MExchange[],2,FALSE)*TableTemp2[[#This Row],[Sales Local Currency]],2),ROUND(TableTemp2[[#This Row],[Sales Local Currency]],2))</f>
        <v>850</v>
      </c>
    </row>
    <row r="154" spans="1:13" x14ac:dyDescent="0.3">
      <c r="A154" s="4" t="s">
        <v>16</v>
      </c>
      <c r="B154">
        <v>68101</v>
      </c>
      <c r="C154" s="24">
        <v>43390</v>
      </c>
      <c r="D154">
        <v>8010</v>
      </c>
      <c r="E154">
        <v>104</v>
      </c>
      <c r="G154">
        <v>190</v>
      </c>
      <c r="H154">
        <v>2280</v>
      </c>
      <c r="I154" s="37" t="str">
        <f>VLOOKUP(A154,MCompany[],2,FALSE)</f>
        <v>Urban Right</v>
      </c>
      <c r="J154" t="str">
        <f>VLOOKUP(TableTemp2[[#This Row],[Customer Code]],MCustomer[],2,FALSE)</f>
        <v>Dellicia</v>
      </c>
      <c r="K154" t="str">
        <f>VLOOKUP(TableTemp2[[#This Row],[Article code]],MArticle[],2,FALSE)</f>
        <v>Women type T simple black</v>
      </c>
      <c r="L154" t="str">
        <f>VLOOKUP(TableTemp2[[#This Row],[Company]],MCompany[],3,FALSE)</f>
        <v>USD</v>
      </c>
      <c r="M154" s="38">
        <f>IF(TableTemp2[[#This Row],[Currency]]="EUR",ROUND(VLOOKUP(MONTH(TableTemp2[[#This Row],[Document Date]]),MExchange[],2,FALSE)*TableTemp2[[#This Row],[Sales Local Currency]],2),ROUND(TableTemp2[[#This Row],[Sales Local Currency]],2))</f>
        <v>2280</v>
      </c>
    </row>
    <row r="155" spans="1:13" x14ac:dyDescent="0.3">
      <c r="A155" s="4" t="s">
        <v>16</v>
      </c>
      <c r="B155">
        <v>68101</v>
      </c>
      <c r="C155" s="24">
        <v>43390</v>
      </c>
      <c r="D155">
        <v>8010</v>
      </c>
      <c r="E155">
        <v>105</v>
      </c>
      <c r="G155">
        <v>140</v>
      </c>
      <c r="H155">
        <v>1400</v>
      </c>
      <c r="I155" s="37" t="str">
        <f>VLOOKUP(A155,MCompany[],2,FALSE)</f>
        <v>Urban Right</v>
      </c>
      <c r="J155" t="str">
        <f>VLOOKUP(TableTemp2[[#This Row],[Customer Code]],MCustomer[],2,FALSE)</f>
        <v>Dellicia</v>
      </c>
      <c r="K155" t="str">
        <f>VLOOKUP(TableTemp2[[#This Row],[Article code]],MArticle[],2,FALSE)</f>
        <v>Women crop top black</v>
      </c>
      <c r="L155" t="str">
        <f>VLOOKUP(TableTemp2[[#This Row],[Company]],MCompany[],3,FALSE)</f>
        <v>USD</v>
      </c>
      <c r="M155" s="38">
        <f>IF(TableTemp2[[#This Row],[Currency]]="EUR",ROUND(VLOOKUP(MONTH(TableTemp2[[#This Row],[Document Date]]),MExchange[],2,FALSE)*TableTemp2[[#This Row],[Sales Local Currency]],2),ROUND(TableTemp2[[#This Row],[Sales Local Currency]],2))</f>
        <v>1400</v>
      </c>
    </row>
    <row r="156" spans="1:13" x14ac:dyDescent="0.3">
      <c r="A156" s="4" t="s">
        <v>16</v>
      </c>
      <c r="B156">
        <v>65627</v>
      </c>
      <c r="C156" s="24">
        <v>43394</v>
      </c>
      <c r="D156">
        <v>8020</v>
      </c>
      <c r="E156">
        <v>103</v>
      </c>
      <c r="G156">
        <v>140</v>
      </c>
      <c r="H156">
        <v>1680</v>
      </c>
      <c r="I156" s="37" t="str">
        <f>VLOOKUP(A156,MCompany[],2,FALSE)</f>
        <v>Urban Right</v>
      </c>
      <c r="J156" t="str">
        <f>VLOOKUP(TableTemp2[[#This Row],[Customer Code]],MCustomer[],2,FALSE)</f>
        <v>Erma</v>
      </c>
      <c r="K156" t="str">
        <f>VLOOKUP(TableTemp2[[#This Row],[Article code]],MArticle[],2,FALSE)</f>
        <v>Women type T simple white</v>
      </c>
      <c r="L156" t="str">
        <f>VLOOKUP(TableTemp2[[#This Row],[Company]],MCompany[],3,FALSE)</f>
        <v>USD</v>
      </c>
      <c r="M156" s="38">
        <f>IF(TableTemp2[[#This Row],[Currency]]="EUR",ROUND(VLOOKUP(MONTH(TableTemp2[[#This Row],[Document Date]]),MExchange[],2,FALSE)*TableTemp2[[#This Row],[Sales Local Currency]],2),ROUND(TableTemp2[[#This Row],[Sales Local Currency]],2))</f>
        <v>1680</v>
      </c>
    </row>
    <row r="157" spans="1:13" x14ac:dyDescent="0.3">
      <c r="A157" s="4" t="s">
        <v>16</v>
      </c>
      <c r="B157">
        <v>65627</v>
      </c>
      <c r="C157" s="24">
        <v>43394</v>
      </c>
      <c r="D157">
        <v>8020</v>
      </c>
      <c r="E157">
        <v>104</v>
      </c>
      <c r="F157">
        <v>3</v>
      </c>
      <c r="G157">
        <v>160</v>
      </c>
      <c r="H157">
        <v>1920</v>
      </c>
      <c r="I157" s="37" t="str">
        <f>VLOOKUP(A157,MCompany[],2,FALSE)</f>
        <v>Urban Right</v>
      </c>
      <c r="J157" t="str">
        <f>VLOOKUP(TableTemp2[[#This Row],[Customer Code]],MCustomer[],2,FALSE)</f>
        <v>Erma</v>
      </c>
      <c r="K157" t="str">
        <f>VLOOKUP(TableTemp2[[#This Row],[Article code]],MArticle[],2,FALSE)</f>
        <v>Women type T simple black</v>
      </c>
      <c r="L157" t="str">
        <f>VLOOKUP(TableTemp2[[#This Row],[Company]],MCompany[],3,FALSE)</f>
        <v>USD</v>
      </c>
      <c r="M157" s="38">
        <f>IF(TableTemp2[[#This Row],[Currency]]="EUR",ROUND(VLOOKUP(MONTH(TableTemp2[[#This Row],[Document Date]]),MExchange[],2,FALSE)*TableTemp2[[#This Row],[Sales Local Currency]],2),ROUND(TableTemp2[[#This Row],[Sales Local Currency]],2))</f>
        <v>1920</v>
      </c>
    </row>
    <row r="158" spans="1:13" x14ac:dyDescent="0.3">
      <c r="A158" s="4" t="s">
        <v>16</v>
      </c>
      <c r="B158">
        <v>65629</v>
      </c>
      <c r="C158" s="24">
        <v>43394</v>
      </c>
      <c r="D158">
        <v>8010</v>
      </c>
      <c r="E158">
        <v>103</v>
      </c>
      <c r="G158">
        <v>190</v>
      </c>
      <c r="H158">
        <v>2280</v>
      </c>
      <c r="I158" s="37" t="str">
        <f>VLOOKUP(A158,MCompany[],2,FALSE)</f>
        <v>Urban Right</v>
      </c>
      <c r="J158" t="str">
        <f>VLOOKUP(TableTemp2[[#This Row],[Customer Code]],MCustomer[],2,FALSE)</f>
        <v>Dellicia</v>
      </c>
      <c r="K158" t="str">
        <f>VLOOKUP(TableTemp2[[#This Row],[Article code]],MArticle[],2,FALSE)</f>
        <v>Women type T simple white</v>
      </c>
      <c r="L158" t="str">
        <f>VLOOKUP(TableTemp2[[#This Row],[Company]],MCompany[],3,FALSE)</f>
        <v>USD</v>
      </c>
      <c r="M158" s="38">
        <f>IF(TableTemp2[[#This Row],[Currency]]="EUR",ROUND(VLOOKUP(MONTH(TableTemp2[[#This Row],[Document Date]]),MExchange[],2,FALSE)*TableTemp2[[#This Row],[Sales Local Currency]],2),ROUND(TableTemp2[[#This Row],[Sales Local Currency]],2))</f>
        <v>2280</v>
      </c>
    </row>
    <row r="159" spans="1:13" x14ac:dyDescent="0.3">
      <c r="A159" s="4" t="s">
        <v>16</v>
      </c>
      <c r="B159">
        <v>65629</v>
      </c>
      <c r="C159" s="24">
        <v>43394</v>
      </c>
      <c r="D159">
        <v>8010</v>
      </c>
      <c r="E159">
        <v>104</v>
      </c>
      <c r="G159">
        <v>130</v>
      </c>
      <c r="H159">
        <v>1560</v>
      </c>
      <c r="I159" s="37" t="str">
        <f>VLOOKUP(A159,MCompany[],2,FALSE)</f>
        <v>Urban Right</v>
      </c>
      <c r="J159" t="str">
        <f>VLOOKUP(TableTemp2[[#This Row],[Customer Code]],MCustomer[],2,FALSE)</f>
        <v>Dellicia</v>
      </c>
      <c r="K159" t="str">
        <f>VLOOKUP(TableTemp2[[#This Row],[Article code]],MArticle[],2,FALSE)</f>
        <v>Women type T simple black</v>
      </c>
      <c r="L159" t="str">
        <f>VLOOKUP(TableTemp2[[#This Row],[Company]],MCompany[],3,FALSE)</f>
        <v>USD</v>
      </c>
      <c r="M159" s="38">
        <f>IF(TableTemp2[[#This Row],[Currency]]="EUR",ROUND(VLOOKUP(MONTH(TableTemp2[[#This Row],[Document Date]]),MExchange[],2,FALSE)*TableTemp2[[#This Row],[Sales Local Currency]],2),ROUND(TableTemp2[[#This Row],[Sales Local Currency]],2))</f>
        <v>1560</v>
      </c>
    </row>
    <row r="160" spans="1:13" x14ac:dyDescent="0.3">
      <c r="A160" s="4" t="s">
        <v>16</v>
      </c>
      <c r="B160">
        <v>65629</v>
      </c>
      <c r="C160" s="24">
        <v>43394</v>
      </c>
      <c r="D160">
        <v>8010</v>
      </c>
      <c r="E160">
        <v>105</v>
      </c>
      <c r="G160">
        <v>140</v>
      </c>
      <c r="H160">
        <v>1400</v>
      </c>
      <c r="I160" s="37" t="str">
        <f>VLOOKUP(A160,MCompany[],2,FALSE)</f>
        <v>Urban Right</v>
      </c>
      <c r="J160" t="str">
        <f>VLOOKUP(TableTemp2[[#This Row],[Customer Code]],MCustomer[],2,FALSE)</f>
        <v>Dellicia</v>
      </c>
      <c r="K160" t="str">
        <f>VLOOKUP(TableTemp2[[#This Row],[Article code]],MArticle[],2,FALSE)</f>
        <v>Women crop top black</v>
      </c>
      <c r="L160" t="str">
        <f>VLOOKUP(TableTemp2[[#This Row],[Company]],MCompany[],3,FALSE)</f>
        <v>USD</v>
      </c>
      <c r="M160" s="38">
        <f>IF(TableTemp2[[#This Row],[Currency]]="EUR",ROUND(VLOOKUP(MONTH(TableTemp2[[#This Row],[Document Date]]),MExchange[],2,FALSE)*TableTemp2[[#This Row],[Sales Local Currency]],2),ROUND(TableTemp2[[#This Row],[Sales Local Currency]],2))</f>
        <v>1400</v>
      </c>
    </row>
    <row r="161" spans="1:13" x14ac:dyDescent="0.3">
      <c r="A161" s="4" t="s">
        <v>16</v>
      </c>
      <c r="B161">
        <v>65631</v>
      </c>
      <c r="C161" s="24">
        <v>43394</v>
      </c>
      <c r="D161">
        <v>8020</v>
      </c>
      <c r="E161">
        <v>107</v>
      </c>
      <c r="G161">
        <v>190</v>
      </c>
      <c r="H161">
        <v>950</v>
      </c>
      <c r="I161" s="37" t="str">
        <f>VLOOKUP(A161,MCompany[],2,FALSE)</f>
        <v>Urban Right</v>
      </c>
      <c r="J161" t="str">
        <f>VLOOKUP(TableTemp2[[#This Row],[Customer Code]],MCustomer[],2,FALSE)</f>
        <v>Erma</v>
      </c>
      <c r="K161" t="str">
        <f>VLOOKUP(TableTemp2[[#This Row],[Article code]],MArticle[],2,FALSE)</f>
        <v>Women basics</v>
      </c>
      <c r="L161" t="str">
        <f>VLOOKUP(TableTemp2[[#This Row],[Company]],MCompany[],3,FALSE)</f>
        <v>USD</v>
      </c>
      <c r="M161" s="38">
        <f>IF(TableTemp2[[#This Row],[Currency]]="EUR",ROUND(VLOOKUP(MONTH(TableTemp2[[#This Row],[Document Date]]),MExchange[],2,FALSE)*TableTemp2[[#This Row],[Sales Local Currency]],2),ROUND(TableTemp2[[#This Row],[Sales Local Currency]],2))</f>
        <v>950</v>
      </c>
    </row>
    <row r="162" spans="1:13" x14ac:dyDescent="0.3">
      <c r="A162" s="4" t="s">
        <v>16</v>
      </c>
      <c r="B162">
        <v>65631</v>
      </c>
      <c r="C162" s="24">
        <v>43394</v>
      </c>
      <c r="D162">
        <v>8020</v>
      </c>
      <c r="E162">
        <v>103</v>
      </c>
      <c r="G162">
        <v>120</v>
      </c>
      <c r="H162">
        <v>1440</v>
      </c>
      <c r="I162" s="37" t="str">
        <f>VLOOKUP(A162,MCompany[],2,FALSE)</f>
        <v>Urban Right</v>
      </c>
      <c r="J162" t="str">
        <f>VLOOKUP(TableTemp2[[#This Row],[Customer Code]],MCustomer[],2,FALSE)</f>
        <v>Erma</v>
      </c>
      <c r="K162" t="str">
        <f>VLOOKUP(TableTemp2[[#This Row],[Article code]],MArticle[],2,FALSE)</f>
        <v>Women type T simple white</v>
      </c>
      <c r="L162" t="str">
        <f>VLOOKUP(TableTemp2[[#This Row],[Company]],MCompany[],3,FALSE)</f>
        <v>USD</v>
      </c>
      <c r="M162" s="38">
        <f>IF(TableTemp2[[#This Row],[Currency]]="EUR",ROUND(VLOOKUP(MONTH(TableTemp2[[#This Row],[Document Date]]),MExchange[],2,FALSE)*TableTemp2[[#This Row],[Sales Local Currency]],2),ROUND(TableTemp2[[#This Row],[Sales Local Currency]],2))</f>
        <v>1440</v>
      </c>
    </row>
  </sheetData>
  <pageMargins left="0.7" right="0.7" top="0.75" bottom="0.75" header="0.3" footer="0.3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08DE6-6847-43AB-AE92-D0329F54A923}">
  <sheetPr codeName="shMap"/>
  <dimension ref="A1:J68"/>
  <sheetViews>
    <sheetView workbookViewId="0">
      <selection activeCell="G9" sqref="G9:G10"/>
    </sheetView>
  </sheetViews>
  <sheetFormatPr defaultRowHeight="13.2" x14ac:dyDescent="0.25"/>
  <cols>
    <col min="1" max="1" width="8.77734375" style="1" customWidth="1"/>
    <col min="2" max="2" width="21.77734375" style="1" customWidth="1"/>
    <col min="3" max="3" width="19.21875" style="1" customWidth="1"/>
    <col min="4" max="4" width="15.109375" style="1" customWidth="1"/>
    <col min="5" max="5" width="8.88671875" style="1"/>
    <col min="6" max="6" width="29.88671875" style="1" customWidth="1"/>
    <col min="7" max="7" width="13.77734375" style="1" customWidth="1"/>
    <col min="8" max="13" width="8.88671875" style="1"/>
    <col min="14" max="14" width="22.5546875" style="1" customWidth="1"/>
    <col min="15" max="16384" width="8.88671875" style="1"/>
  </cols>
  <sheetData>
    <row r="1" spans="1:10" x14ac:dyDescent="0.25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ht="13.8" x14ac:dyDescent="0.25">
      <c r="A2" s="6"/>
      <c r="B2" s="6" t="s">
        <v>8</v>
      </c>
      <c r="C2" s="6"/>
      <c r="D2" s="6"/>
      <c r="E2" s="6"/>
      <c r="F2" s="6"/>
      <c r="G2" s="6"/>
      <c r="H2" s="6"/>
      <c r="I2" s="6"/>
      <c r="J2" s="6"/>
    </row>
    <row r="3" spans="1:10" ht="13.8" x14ac:dyDescent="0.25">
      <c r="A3" s="6"/>
      <c r="B3" s="6" t="s">
        <v>9</v>
      </c>
      <c r="C3" s="6"/>
      <c r="D3" s="6"/>
      <c r="E3" s="6"/>
      <c r="F3" s="6"/>
      <c r="G3" s="6"/>
      <c r="H3" s="6"/>
      <c r="I3" s="6"/>
      <c r="J3" s="6"/>
    </row>
    <row r="4" spans="1:10" x14ac:dyDescent="0.25">
      <c r="A4" s="5"/>
      <c r="B4" s="5"/>
      <c r="C4" s="5"/>
      <c r="D4" s="5"/>
      <c r="E4" s="5"/>
      <c r="F4" s="5"/>
      <c r="G4" s="5"/>
      <c r="H4" s="5"/>
      <c r="I4" s="5"/>
      <c r="J4" s="5"/>
    </row>
    <row r="6" spans="1:10" x14ac:dyDescent="0.25">
      <c r="A6" s="7" t="s">
        <v>10</v>
      </c>
      <c r="B6" s="7"/>
      <c r="C6" s="7"/>
      <c r="D6" s="7"/>
      <c r="E6" s="7"/>
      <c r="F6" s="7"/>
      <c r="G6" s="7"/>
      <c r="H6" s="7"/>
      <c r="I6" s="7"/>
      <c r="J6" s="7"/>
    </row>
    <row r="8" spans="1:10" ht="26.25" customHeight="1" x14ac:dyDescent="0.25">
      <c r="B8" s="8" t="s">
        <v>11</v>
      </c>
      <c r="C8" s="9" t="s">
        <v>12</v>
      </c>
      <c r="D8" s="9" t="s">
        <v>13</v>
      </c>
      <c r="E8" s="9" t="s">
        <v>14</v>
      </c>
      <c r="G8" s="9" t="s">
        <v>15</v>
      </c>
    </row>
    <row r="9" spans="1:10" x14ac:dyDescent="0.25">
      <c r="B9" s="1" t="s">
        <v>16</v>
      </c>
      <c r="C9" s="1" t="s">
        <v>17</v>
      </c>
      <c r="D9" s="1" t="s">
        <v>18</v>
      </c>
      <c r="E9" s="1" t="s">
        <v>19</v>
      </c>
      <c r="G9" s="1" t="s">
        <v>19</v>
      </c>
    </row>
    <row r="10" spans="1:10" x14ac:dyDescent="0.25">
      <c r="B10" s="1" t="s">
        <v>20</v>
      </c>
      <c r="C10" s="1" t="s">
        <v>21</v>
      </c>
      <c r="D10" s="1" t="s">
        <v>18</v>
      </c>
      <c r="E10" s="1" t="s">
        <v>19</v>
      </c>
      <c r="G10" s="1" t="s">
        <v>22</v>
      </c>
    </row>
    <row r="11" spans="1:10" x14ac:dyDescent="0.25">
      <c r="B11" s="1" t="s">
        <v>23</v>
      </c>
      <c r="C11" s="1" t="s">
        <v>24</v>
      </c>
      <c r="D11" s="1" t="s">
        <v>25</v>
      </c>
      <c r="E11" s="1" t="s">
        <v>22</v>
      </c>
    </row>
    <row r="12" spans="1:10" x14ac:dyDescent="0.25">
      <c r="B12" s="1" t="s">
        <v>26</v>
      </c>
      <c r="C12" s="1" t="s">
        <v>27</v>
      </c>
      <c r="D12" s="1" t="s">
        <v>25</v>
      </c>
      <c r="E12" s="1" t="s">
        <v>22</v>
      </c>
    </row>
    <row r="14" spans="1:10" x14ac:dyDescent="0.25">
      <c r="A14" s="7" t="s">
        <v>28</v>
      </c>
      <c r="B14" s="7"/>
      <c r="C14" s="7"/>
      <c r="D14" s="7"/>
      <c r="E14" s="7"/>
      <c r="F14" s="7"/>
      <c r="G14" s="7"/>
      <c r="H14" s="7"/>
      <c r="I14" s="7"/>
      <c r="J14" s="7"/>
    </row>
    <row r="16" spans="1:10" ht="13.8" x14ac:dyDescent="0.25">
      <c r="B16" s="8" t="s">
        <v>3</v>
      </c>
      <c r="C16" s="9" t="s">
        <v>29</v>
      </c>
    </row>
    <row r="17" spans="1:10" x14ac:dyDescent="0.25">
      <c r="B17" s="1">
        <v>8010</v>
      </c>
      <c r="C17" s="1" t="s">
        <v>30</v>
      </c>
    </row>
    <row r="18" spans="1:10" x14ac:dyDescent="0.25">
      <c r="B18" s="1">
        <v>8020</v>
      </c>
      <c r="C18" s="1" t="s">
        <v>31</v>
      </c>
    </row>
    <row r="19" spans="1:10" x14ac:dyDescent="0.25">
      <c r="B19" s="1">
        <v>8030</v>
      </c>
      <c r="C19" s="1" t="s">
        <v>32</v>
      </c>
    </row>
    <row r="20" spans="1:10" x14ac:dyDescent="0.25">
      <c r="B20" s="1">
        <v>8040</v>
      </c>
      <c r="C20" s="1" t="s">
        <v>33</v>
      </c>
    </row>
    <row r="21" spans="1:10" x14ac:dyDescent="0.25">
      <c r="B21" s="1">
        <v>8050</v>
      </c>
      <c r="C21" s="1" t="s">
        <v>34</v>
      </c>
    </row>
    <row r="22" spans="1:10" x14ac:dyDescent="0.25">
      <c r="B22" s="1">
        <v>8060</v>
      </c>
      <c r="C22" s="1" t="s">
        <v>35</v>
      </c>
    </row>
    <row r="24" spans="1:10" x14ac:dyDescent="0.25">
      <c r="A24" s="7" t="s">
        <v>36</v>
      </c>
      <c r="B24" s="7"/>
      <c r="C24" s="7"/>
      <c r="D24" s="7"/>
      <c r="E24" s="7"/>
      <c r="F24" s="7"/>
      <c r="G24" s="7"/>
      <c r="H24" s="7"/>
      <c r="I24" s="7"/>
      <c r="J24" s="7"/>
    </row>
    <row r="26" spans="1:10" ht="13.8" x14ac:dyDescent="0.25">
      <c r="B26" s="8" t="s">
        <v>4</v>
      </c>
      <c r="C26" s="9" t="s">
        <v>37</v>
      </c>
    </row>
    <row r="27" spans="1:10" x14ac:dyDescent="0.25">
      <c r="B27" s="10">
        <v>101</v>
      </c>
      <c r="C27" s="1" t="s">
        <v>38</v>
      </c>
      <c r="F27" s="10"/>
    </row>
    <row r="28" spans="1:10" x14ac:dyDescent="0.25">
      <c r="B28" s="10">
        <v>102</v>
      </c>
      <c r="C28" s="1" t="s">
        <v>39</v>
      </c>
      <c r="F28" s="10"/>
    </row>
    <row r="29" spans="1:10" x14ac:dyDescent="0.25">
      <c r="B29" s="10">
        <v>103</v>
      </c>
      <c r="C29" s="1" t="s">
        <v>40</v>
      </c>
      <c r="F29" s="10"/>
    </row>
    <row r="30" spans="1:10" x14ac:dyDescent="0.25">
      <c r="B30" s="10">
        <v>104</v>
      </c>
      <c r="C30" s="1" t="s">
        <v>41</v>
      </c>
      <c r="F30" s="10"/>
    </row>
    <row r="31" spans="1:10" x14ac:dyDescent="0.25">
      <c r="B31" s="10">
        <v>105</v>
      </c>
      <c r="C31" s="1" t="s">
        <v>42</v>
      </c>
      <c r="F31" s="10"/>
    </row>
    <row r="32" spans="1:10" x14ac:dyDescent="0.25">
      <c r="B32" s="10">
        <v>106</v>
      </c>
      <c r="C32" s="1" t="s">
        <v>43</v>
      </c>
      <c r="F32" s="10"/>
    </row>
    <row r="33" spans="1:6" x14ac:dyDescent="0.25">
      <c r="B33" s="10">
        <v>107</v>
      </c>
      <c r="C33" s="1" t="s">
        <v>44</v>
      </c>
      <c r="F33" s="10"/>
    </row>
    <row r="34" spans="1:6" x14ac:dyDescent="0.25">
      <c r="B34" s="10">
        <v>108</v>
      </c>
      <c r="C34" s="1" t="s">
        <v>45</v>
      </c>
      <c r="F34" s="10"/>
    </row>
    <row r="35" spans="1:6" x14ac:dyDescent="0.25">
      <c r="B35" s="10">
        <v>109</v>
      </c>
      <c r="C35" s="1" t="s">
        <v>46</v>
      </c>
      <c r="F35" s="10"/>
    </row>
    <row r="36" spans="1:6" x14ac:dyDescent="0.25">
      <c r="B36" s="10">
        <v>110</v>
      </c>
      <c r="C36" s="1" t="s">
        <v>47</v>
      </c>
      <c r="F36" s="10"/>
    </row>
    <row r="37" spans="1:6" x14ac:dyDescent="0.25">
      <c r="B37" s="10">
        <v>111</v>
      </c>
      <c r="C37" s="1" t="s">
        <v>48</v>
      </c>
      <c r="F37" s="10"/>
    </row>
    <row r="38" spans="1:6" x14ac:dyDescent="0.25">
      <c r="B38" s="10">
        <v>112</v>
      </c>
      <c r="C38" s="1" t="s">
        <v>49</v>
      </c>
      <c r="F38" s="10"/>
    </row>
    <row r="39" spans="1:6" x14ac:dyDescent="0.25">
      <c r="B39" s="10">
        <v>113</v>
      </c>
      <c r="C39" s="1" t="s">
        <v>50</v>
      </c>
      <c r="F39" s="10"/>
    </row>
    <row r="40" spans="1:6" x14ac:dyDescent="0.25">
      <c r="B40" s="10">
        <v>114</v>
      </c>
      <c r="C40" s="1" t="s">
        <v>51</v>
      </c>
      <c r="F40" s="10"/>
    </row>
    <row r="41" spans="1:6" x14ac:dyDescent="0.25">
      <c r="B41" s="10">
        <v>115</v>
      </c>
      <c r="C41" s="1" t="s">
        <v>52</v>
      </c>
      <c r="F41" s="10"/>
    </row>
    <row r="42" spans="1:6" x14ac:dyDescent="0.25">
      <c r="B42" s="10">
        <v>116</v>
      </c>
      <c r="C42" s="1" t="s">
        <v>53</v>
      </c>
      <c r="F42" s="10"/>
    </row>
    <row r="43" spans="1:6" x14ac:dyDescent="0.25">
      <c r="B43" s="10">
        <v>117</v>
      </c>
      <c r="C43" s="1" t="s">
        <v>54</v>
      </c>
      <c r="F43" s="10"/>
    </row>
    <row r="44" spans="1:6" x14ac:dyDescent="0.25">
      <c r="B44" s="10">
        <v>118</v>
      </c>
      <c r="C44" s="1" t="s">
        <v>55</v>
      </c>
      <c r="F44" s="10"/>
    </row>
    <row r="45" spans="1:6" x14ac:dyDescent="0.25">
      <c r="B45" s="10">
        <v>119</v>
      </c>
      <c r="C45" s="1" t="s">
        <v>56</v>
      </c>
      <c r="F45" s="10"/>
    </row>
    <row r="46" spans="1:6" x14ac:dyDescent="0.25">
      <c r="B46" s="10">
        <v>120</v>
      </c>
      <c r="C46" s="1" t="s">
        <v>57</v>
      </c>
      <c r="F46" s="10"/>
    </row>
    <row r="47" spans="1:6" x14ac:dyDescent="0.25">
      <c r="A47" s="10"/>
    </row>
    <row r="48" spans="1:6" x14ac:dyDescent="0.25">
      <c r="A48" s="10"/>
    </row>
    <row r="50" spans="1:10" x14ac:dyDescent="0.25">
      <c r="A50" s="7" t="s">
        <v>58</v>
      </c>
      <c r="B50" s="7"/>
      <c r="C50" s="7"/>
      <c r="D50" s="7"/>
      <c r="E50" s="7"/>
      <c r="F50" s="7"/>
      <c r="G50" s="7"/>
      <c r="H50" s="7"/>
      <c r="I50" s="7"/>
      <c r="J50" s="7"/>
    </row>
    <row r="52" spans="1:10" ht="13.8" x14ac:dyDescent="0.25">
      <c r="B52" s="8" t="s">
        <v>59</v>
      </c>
      <c r="C52" s="9" t="s">
        <v>60</v>
      </c>
    </row>
    <row r="53" spans="1:10" x14ac:dyDescent="0.25">
      <c r="B53" s="1">
        <v>1</v>
      </c>
      <c r="C53" s="1">
        <v>1.0629200000000001</v>
      </c>
    </row>
    <row r="54" spans="1:10" x14ac:dyDescent="0.25">
      <c r="B54" s="1">
        <v>2</v>
      </c>
      <c r="C54" s="1">
        <v>1.064889</v>
      </c>
    </row>
    <row r="55" spans="1:10" x14ac:dyDescent="0.25">
      <c r="B55" s="1">
        <v>3</v>
      </c>
      <c r="C55" s="1">
        <v>1.069491</v>
      </c>
    </row>
    <row r="56" spans="1:10" x14ac:dyDescent="0.25">
      <c r="B56" s="1">
        <v>4</v>
      </c>
      <c r="C56" s="1">
        <v>1.0708819999999999</v>
      </c>
    </row>
    <row r="57" spans="1:10" x14ac:dyDescent="0.25">
      <c r="B57" s="1">
        <v>5</v>
      </c>
      <c r="C57" s="1">
        <v>1.106112</v>
      </c>
    </row>
    <row r="58" spans="1:10" x14ac:dyDescent="0.25">
      <c r="B58" s="1">
        <v>6</v>
      </c>
      <c r="C58" s="1">
        <v>1.1229709999999999</v>
      </c>
    </row>
    <row r="59" spans="1:10" x14ac:dyDescent="0.25">
      <c r="B59" s="1">
        <v>7</v>
      </c>
      <c r="C59" s="1">
        <v>1.1528700000000001</v>
      </c>
    </row>
    <row r="60" spans="1:10" x14ac:dyDescent="0.25">
      <c r="B60" s="1">
        <v>8</v>
      </c>
      <c r="C60" s="1">
        <v>1.181608</v>
      </c>
    </row>
    <row r="61" spans="1:10" x14ac:dyDescent="0.25">
      <c r="B61" s="1">
        <v>9</v>
      </c>
      <c r="C61" s="1">
        <v>1.191249</v>
      </c>
    </row>
    <row r="62" spans="1:10" x14ac:dyDescent="0.25">
      <c r="B62" s="1">
        <v>10</v>
      </c>
      <c r="C62" s="1">
        <v>1.174939</v>
      </c>
    </row>
    <row r="63" spans="1:10" x14ac:dyDescent="0.25">
      <c r="B63" s="1">
        <v>11</v>
      </c>
      <c r="C63" s="1">
        <v>1.1745300000000001</v>
      </c>
    </row>
    <row r="64" spans="1:10" x14ac:dyDescent="0.25">
      <c r="B64" s="1">
        <v>12</v>
      </c>
      <c r="C64" s="1">
        <v>1.19095</v>
      </c>
    </row>
    <row r="68" spans="1:10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FB0C0-9BA9-44D2-A8D0-2F8F7531EBC3}">
  <sheetPr codeName="shNewDat"/>
  <dimension ref="A2:I46"/>
  <sheetViews>
    <sheetView workbookViewId="0">
      <selection sqref="A1:XFD1048576"/>
    </sheetView>
  </sheetViews>
  <sheetFormatPr defaultRowHeight="14.4" x14ac:dyDescent="0.3"/>
  <sheetData>
    <row r="2" spans="2:9" x14ac:dyDescent="0.3">
      <c r="B2" t="s">
        <v>0</v>
      </c>
      <c r="C2" t="s">
        <v>16</v>
      </c>
    </row>
    <row r="4" spans="2:9" x14ac:dyDescent="0.3">
      <c r="B4" t="s">
        <v>1</v>
      </c>
      <c r="C4" t="s">
        <v>2</v>
      </c>
      <c r="D4" t="s">
        <v>88</v>
      </c>
      <c r="E4" t="s">
        <v>3</v>
      </c>
      <c r="F4" t="s">
        <v>4</v>
      </c>
      <c r="G4" t="s">
        <v>5</v>
      </c>
      <c r="H4" t="s">
        <v>6</v>
      </c>
      <c r="I4" t="s">
        <v>7</v>
      </c>
    </row>
    <row r="5" spans="2:9" x14ac:dyDescent="0.3">
      <c r="B5">
        <v>66030</v>
      </c>
      <c r="C5" s="24">
        <v>43377</v>
      </c>
      <c r="D5" t="s">
        <v>105</v>
      </c>
      <c r="E5">
        <v>8010</v>
      </c>
      <c r="F5">
        <v>103</v>
      </c>
      <c r="G5" t="s">
        <v>89</v>
      </c>
      <c r="H5">
        <v>120</v>
      </c>
      <c r="I5">
        <v>1440</v>
      </c>
    </row>
    <row r="6" spans="2:9" x14ac:dyDescent="0.3">
      <c r="B6">
        <v>66030</v>
      </c>
      <c r="C6" s="24">
        <v>43377</v>
      </c>
      <c r="D6" t="s">
        <v>106</v>
      </c>
      <c r="E6">
        <v>8010</v>
      </c>
      <c r="F6">
        <v>104</v>
      </c>
      <c r="H6">
        <v>150</v>
      </c>
      <c r="I6">
        <v>1800</v>
      </c>
    </row>
    <row r="7" spans="2:9" x14ac:dyDescent="0.3">
      <c r="B7">
        <v>66032</v>
      </c>
      <c r="C7" s="24">
        <v>43380</v>
      </c>
      <c r="D7" t="s">
        <v>107</v>
      </c>
      <c r="E7">
        <v>8010</v>
      </c>
      <c r="F7">
        <v>103</v>
      </c>
      <c r="H7">
        <v>170</v>
      </c>
      <c r="I7">
        <v>2040</v>
      </c>
    </row>
    <row r="8" spans="2:9" x14ac:dyDescent="0.3">
      <c r="B8">
        <v>66032</v>
      </c>
      <c r="C8" s="24">
        <v>43380</v>
      </c>
      <c r="D8" t="s">
        <v>108</v>
      </c>
      <c r="E8">
        <v>8010</v>
      </c>
      <c r="F8">
        <v>104</v>
      </c>
      <c r="H8">
        <v>140</v>
      </c>
      <c r="I8">
        <v>1680</v>
      </c>
    </row>
    <row r="9" spans="2:9" x14ac:dyDescent="0.3">
      <c r="B9">
        <v>66031</v>
      </c>
      <c r="C9" s="24">
        <v>43381</v>
      </c>
      <c r="D9" t="s">
        <v>109</v>
      </c>
      <c r="E9">
        <v>8020</v>
      </c>
      <c r="F9">
        <v>103</v>
      </c>
      <c r="G9">
        <v>1</v>
      </c>
      <c r="H9">
        <v>140</v>
      </c>
      <c r="I9">
        <v>1680</v>
      </c>
    </row>
    <row r="10" spans="2:9" x14ac:dyDescent="0.3">
      <c r="B10">
        <v>66031</v>
      </c>
      <c r="C10" s="24">
        <v>43381</v>
      </c>
      <c r="D10" t="s">
        <v>110</v>
      </c>
      <c r="E10">
        <v>8020</v>
      </c>
      <c r="F10">
        <v>104</v>
      </c>
      <c r="H10">
        <v>150</v>
      </c>
      <c r="I10">
        <v>1800</v>
      </c>
    </row>
    <row r="11" spans="2:9" x14ac:dyDescent="0.3">
      <c r="B11">
        <v>66031</v>
      </c>
      <c r="C11" s="24">
        <v>43381</v>
      </c>
      <c r="D11" t="s">
        <v>111</v>
      </c>
      <c r="E11">
        <v>8020</v>
      </c>
      <c r="F11">
        <v>105</v>
      </c>
      <c r="H11">
        <v>100</v>
      </c>
      <c r="I11">
        <v>1000</v>
      </c>
    </row>
    <row r="12" spans="2:9" x14ac:dyDescent="0.3">
      <c r="B12">
        <v>68112</v>
      </c>
      <c r="C12" s="24">
        <v>43384</v>
      </c>
      <c r="D12" t="s">
        <v>112</v>
      </c>
      <c r="E12">
        <v>8010</v>
      </c>
      <c r="F12">
        <v>104</v>
      </c>
      <c r="G12">
        <v>4</v>
      </c>
      <c r="H12">
        <v>180</v>
      </c>
      <c r="I12">
        <v>2160</v>
      </c>
    </row>
    <row r="13" spans="2:9" x14ac:dyDescent="0.3">
      <c r="B13">
        <v>68112</v>
      </c>
      <c r="C13" s="24">
        <v>43384</v>
      </c>
      <c r="D13" t="s">
        <v>107</v>
      </c>
      <c r="E13">
        <v>8010</v>
      </c>
      <c r="F13">
        <v>105</v>
      </c>
      <c r="H13">
        <v>120</v>
      </c>
      <c r="I13">
        <v>1200</v>
      </c>
    </row>
    <row r="14" spans="2:9" x14ac:dyDescent="0.3">
      <c r="B14">
        <v>68116</v>
      </c>
      <c r="C14" s="24">
        <v>43384</v>
      </c>
      <c r="D14" t="s">
        <v>113</v>
      </c>
      <c r="E14">
        <v>8020</v>
      </c>
      <c r="F14">
        <v>104</v>
      </c>
      <c r="H14">
        <v>150</v>
      </c>
      <c r="I14">
        <v>1800</v>
      </c>
    </row>
    <row r="15" spans="2:9" x14ac:dyDescent="0.3">
      <c r="B15">
        <v>68116</v>
      </c>
      <c r="C15" s="24">
        <v>43384</v>
      </c>
      <c r="D15" t="s">
        <v>112</v>
      </c>
      <c r="E15">
        <v>8020</v>
      </c>
      <c r="F15">
        <v>105</v>
      </c>
      <c r="H15">
        <v>190</v>
      </c>
      <c r="I15">
        <v>1900</v>
      </c>
    </row>
    <row r="16" spans="2:9" x14ac:dyDescent="0.3">
      <c r="B16">
        <v>68116</v>
      </c>
      <c r="C16" s="24">
        <v>43384</v>
      </c>
      <c r="D16" t="s">
        <v>109</v>
      </c>
      <c r="E16">
        <v>8020</v>
      </c>
      <c r="F16">
        <v>107</v>
      </c>
      <c r="G16">
        <v>2</v>
      </c>
      <c r="H16">
        <v>160</v>
      </c>
      <c r="I16">
        <v>800</v>
      </c>
    </row>
    <row r="17" spans="1:9" x14ac:dyDescent="0.3">
      <c r="B17">
        <v>68116</v>
      </c>
      <c r="C17" s="24">
        <v>43384</v>
      </c>
      <c r="D17" t="s">
        <v>109</v>
      </c>
      <c r="E17">
        <v>8010</v>
      </c>
      <c r="F17">
        <v>104</v>
      </c>
      <c r="H17">
        <v>160</v>
      </c>
      <c r="I17">
        <v>1920</v>
      </c>
    </row>
    <row r="18" spans="1:9" x14ac:dyDescent="0.3">
      <c r="B18">
        <v>68116</v>
      </c>
      <c r="C18" s="24">
        <v>43384</v>
      </c>
      <c r="D18" t="s">
        <v>105</v>
      </c>
      <c r="E18">
        <v>8010</v>
      </c>
      <c r="F18">
        <v>105</v>
      </c>
      <c r="H18">
        <v>190</v>
      </c>
      <c r="I18">
        <v>1900</v>
      </c>
    </row>
    <row r="19" spans="1:9" x14ac:dyDescent="0.3">
      <c r="B19">
        <v>65662</v>
      </c>
      <c r="C19" s="24">
        <v>43388</v>
      </c>
      <c r="D19" t="s">
        <v>108</v>
      </c>
      <c r="E19">
        <v>8020</v>
      </c>
      <c r="F19">
        <v>103</v>
      </c>
      <c r="H19">
        <v>120</v>
      </c>
      <c r="I19">
        <v>1440</v>
      </c>
    </row>
    <row r="20" spans="1:9" x14ac:dyDescent="0.3">
      <c r="B20">
        <v>65662</v>
      </c>
      <c r="C20" s="24">
        <v>43388</v>
      </c>
      <c r="D20" t="s">
        <v>111</v>
      </c>
      <c r="E20">
        <v>8020</v>
      </c>
      <c r="F20">
        <v>104</v>
      </c>
      <c r="H20">
        <v>110</v>
      </c>
      <c r="I20">
        <v>1320</v>
      </c>
    </row>
    <row r="21" spans="1:9" x14ac:dyDescent="0.3">
      <c r="B21">
        <v>65666</v>
      </c>
      <c r="C21" s="24">
        <v>43388</v>
      </c>
      <c r="D21" t="s">
        <v>108</v>
      </c>
      <c r="E21">
        <v>8010</v>
      </c>
      <c r="F21">
        <v>103</v>
      </c>
      <c r="H21">
        <v>120</v>
      </c>
      <c r="I21">
        <v>1440</v>
      </c>
    </row>
    <row r="22" spans="1:9" x14ac:dyDescent="0.3">
      <c r="B22">
        <v>65666</v>
      </c>
      <c r="C22" s="24">
        <v>43388</v>
      </c>
      <c r="D22" t="s">
        <v>107</v>
      </c>
      <c r="E22">
        <v>8010</v>
      </c>
      <c r="F22">
        <v>104</v>
      </c>
      <c r="H22">
        <v>140</v>
      </c>
      <c r="I22">
        <v>1680</v>
      </c>
    </row>
    <row r="23" spans="1:9" x14ac:dyDescent="0.3">
      <c r="B23">
        <v>65666</v>
      </c>
      <c r="C23" s="24">
        <v>43388</v>
      </c>
      <c r="D23" t="s">
        <v>106</v>
      </c>
      <c r="E23">
        <v>8010</v>
      </c>
      <c r="F23">
        <v>105</v>
      </c>
      <c r="H23">
        <v>160</v>
      </c>
      <c r="I23">
        <v>1600</v>
      </c>
    </row>
    <row r="24" spans="1:9" x14ac:dyDescent="0.3">
      <c r="B24">
        <v>65666</v>
      </c>
      <c r="C24" s="24">
        <v>43388</v>
      </c>
      <c r="D24" t="s">
        <v>113</v>
      </c>
      <c r="E24">
        <v>8020</v>
      </c>
      <c r="F24">
        <v>107</v>
      </c>
      <c r="H24">
        <v>120</v>
      </c>
      <c r="I24">
        <v>600</v>
      </c>
    </row>
    <row r="25" spans="1:9" x14ac:dyDescent="0.3">
      <c r="B25">
        <v>65666</v>
      </c>
      <c r="C25" s="24">
        <v>43388</v>
      </c>
      <c r="D25" t="s">
        <v>108</v>
      </c>
      <c r="E25">
        <v>8020</v>
      </c>
      <c r="F25">
        <v>103</v>
      </c>
      <c r="H25">
        <v>200</v>
      </c>
      <c r="I25">
        <v>2400</v>
      </c>
    </row>
    <row r="26" spans="1:9" x14ac:dyDescent="0.3">
      <c r="A26" s="24"/>
      <c r="B26">
        <v>66015</v>
      </c>
      <c r="C26" s="24">
        <v>43383</v>
      </c>
      <c r="D26" t="s">
        <v>112</v>
      </c>
      <c r="E26">
        <v>8010</v>
      </c>
      <c r="F26">
        <v>103</v>
      </c>
      <c r="H26">
        <v>140</v>
      </c>
      <c r="I26">
        <v>1680</v>
      </c>
    </row>
    <row r="27" spans="1:9" x14ac:dyDescent="0.3">
      <c r="A27" s="24"/>
      <c r="B27">
        <v>66015</v>
      </c>
      <c r="C27" s="24">
        <v>43383</v>
      </c>
      <c r="D27" t="s">
        <v>105</v>
      </c>
      <c r="E27">
        <v>8010</v>
      </c>
      <c r="F27">
        <v>104</v>
      </c>
      <c r="H27">
        <v>140</v>
      </c>
      <c r="I27">
        <v>1680</v>
      </c>
    </row>
    <row r="28" spans="1:9" x14ac:dyDescent="0.3">
      <c r="A28" s="24"/>
      <c r="B28">
        <v>66017</v>
      </c>
      <c r="C28" s="24">
        <v>43386</v>
      </c>
      <c r="D28" t="s">
        <v>105</v>
      </c>
      <c r="E28">
        <v>8010</v>
      </c>
      <c r="F28">
        <v>103</v>
      </c>
      <c r="H28">
        <v>140</v>
      </c>
      <c r="I28">
        <v>1680</v>
      </c>
    </row>
    <row r="29" spans="1:9" x14ac:dyDescent="0.3">
      <c r="A29" s="24"/>
      <c r="B29">
        <v>66017</v>
      </c>
      <c r="C29" s="24">
        <v>43386</v>
      </c>
      <c r="D29" t="s">
        <v>112</v>
      </c>
      <c r="E29">
        <v>8010</v>
      </c>
      <c r="F29">
        <v>104</v>
      </c>
      <c r="H29">
        <v>140</v>
      </c>
      <c r="I29">
        <v>1680</v>
      </c>
    </row>
    <row r="30" spans="1:9" x14ac:dyDescent="0.3">
      <c r="A30" s="24"/>
      <c r="B30">
        <v>66016</v>
      </c>
      <c r="C30" s="24">
        <v>43387</v>
      </c>
      <c r="D30" t="s">
        <v>114</v>
      </c>
      <c r="E30">
        <v>8020</v>
      </c>
      <c r="F30">
        <v>103</v>
      </c>
      <c r="H30">
        <v>120</v>
      </c>
      <c r="I30">
        <v>1440</v>
      </c>
    </row>
    <row r="31" spans="1:9" x14ac:dyDescent="0.3">
      <c r="A31" s="24"/>
      <c r="B31">
        <v>66016</v>
      </c>
      <c r="C31" s="24">
        <v>43387</v>
      </c>
      <c r="D31" t="s">
        <v>114</v>
      </c>
      <c r="E31">
        <v>8020</v>
      </c>
      <c r="F31">
        <v>104</v>
      </c>
      <c r="H31">
        <v>130</v>
      </c>
      <c r="I31">
        <v>1560</v>
      </c>
    </row>
    <row r="32" spans="1:9" x14ac:dyDescent="0.3">
      <c r="A32" s="24"/>
      <c r="B32">
        <v>66016</v>
      </c>
      <c r="C32" s="24">
        <v>43387</v>
      </c>
      <c r="D32" t="s">
        <v>109</v>
      </c>
      <c r="E32">
        <v>8020</v>
      </c>
      <c r="F32">
        <v>105</v>
      </c>
      <c r="H32">
        <v>120</v>
      </c>
      <c r="I32">
        <v>1200</v>
      </c>
    </row>
    <row r="33" spans="1:9" x14ac:dyDescent="0.3">
      <c r="A33" s="24"/>
      <c r="B33">
        <v>68097</v>
      </c>
      <c r="C33" s="24">
        <v>43390</v>
      </c>
      <c r="D33" t="s">
        <v>111</v>
      </c>
      <c r="E33">
        <v>8010</v>
      </c>
      <c r="F33">
        <v>104</v>
      </c>
      <c r="H33">
        <v>140</v>
      </c>
      <c r="I33">
        <v>1680</v>
      </c>
    </row>
    <row r="34" spans="1:9" x14ac:dyDescent="0.3">
      <c r="A34" s="24"/>
      <c r="B34">
        <v>68097</v>
      </c>
      <c r="C34" s="24">
        <v>43390</v>
      </c>
      <c r="D34" t="s">
        <v>109</v>
      </c>
      <c r="E34">
        <v>8010</v>
      </c>
      <c r="F34">
        <v>105</v>
      </c>
      <c r="H34">
        <v>130</v>
      </c>
      <c r="I34">
        <v>1300</v>
      </c>
    </row>
    <row r="35" spans="1:9" x14ac:dyDescent="0.3">
      <c r="A35" s="24"/>
      <c r="B35">
        <v>68099</v>
      </c>
      <c r="C35" s="24">
        <v>43390</v>
      </c>
      <c r="D35" t="s">
        <v>108</v>
      </c>
      <c r="E35">
        <v>8020</v>
      </c>
      <c r="F35">
        <v>104</v>
      </c>
      <c r="H35">
        <v>120</v>
      </c>
      <c r="I35">
        <v>1440</v>
      </c>
    </row>
    <row r="36" spans="1:9" x14ac:dyDescent="0.3">
      <c r="A36" s="24"/>
      <c r="B36">
        <v>68099</v>
      </c>
      <c r="C36" s="24">
        <v>43390</v>
      </c>
      <c r="D36" t="s">
        <v>109</v>
      </c>
      <c r="E36">
        <v>8020</v>
      </c>
      <c r="F36">
        <v>105</v>
      </c>
      <c r="G36">
        <v>2</v>
      </c>
      <c r="H36">
        <v>140</v>
      </c>
      <c r="I36">
        <v>1400</v>
      </c>
    </row>
    <row r="37" spans="1:9" x14ac:dyDescent="0.3">
      <c r="A37" s="24"/>
      <c r="B37">
        <v>68099</v>
      </c>
      <c r="C37" s="24">
        <v>43390</v>
      </c>
      <c r="D37" t="s">
        <v>111</v>
      </c>
      <c r="E37">
        <v>8020</v>
      </c>
      <c r="F37">
        <v>107</v>
      </c>
      <c r="H37">
        <v>170</v>
      </c>
      <c r="I37">
        <v>850</v>
      </c>
    </row>
    <row r="38" spans="1:9" x14ac:dyDescent="0.3">
      <c r="A38" s="24"/>
      <c r="B38">
        <v>68101</v>
      </c>
      <c r="C38" s="24">
        <v>43390</v>
      </c>
      <c r="D38" t="s">
        <v>114</v>
      </c>
      <c r="E38">
        <v>8010</v>
      </c>
      <c r="F38">
        <v>104</v>
      </c>
      <c r="H38">
        <v>190</v>
      </c>
      <c r="I38">
        <v>2280</v>
      </c>
    </row>
    <row r="39" spans="1:9" x14ac:dyDescent="0.3">
      <c r="A39" s="24"/>
      <c r="B39">
        <v>68101</v>
      </c>
      <c r="C39" s="24">
        <v>43390</v>
      </c>
      <c r="D39" t="s">
        <v>115</v>
      </c>
      <c r="E39">
        <v>8010</v>
      </c>
      <c r="F39">
        <v>105</v>
      </c>
      <c r="H39">
        <v>140</v>
      </c>
      <c r="I39">
        <v>1400</v>
      </c>
    </row>
    <row r="40" spans="1:9" x14ac:dyDescent="0.3">
      <c r="A40" s="24"/>
      <c r="B40">
        <v>65627</v>
      </c>
      <c r="C40" s="24">
        <v>43394</v>
      </c>
      <c r="D40" t="s">
        <v>108</v>
      </c>
      <c r="E40">
        <v>8020</v>
      </c>
      <c r="F40">
        <v>103</v>
      </c>
      <c r="H40">
        <v>140</v>
      </c>
      <c r="I40">
        <v>1680</v>
      </c>
    </row>
    <row r="41" spans="1:9" x14ac:dyDescent="0.3">
      <c r="A41" s="24"/>
      <c r="B41">
        <v>65627</v>
      </c>
      <c r="C41" s="24">
        <v>43394</v>
      </c>
      <c r="D41" t="s">
        <v>115</v>
      </c>
      <c r="E41">
        <v>8020</v>
      </c>
      <c r="F41">
        <v>104</v>
      </c>
      <c r="G41">
        <v>3</v>
      </c>
      <c r="H41">
        <v>160</v>
      </c>
      <c r="I41">
        <v>1920</v>
      </c>
    </row>
    <row r="42" spans="1:9" x14ac:dyDescent="0.3">
      <c r="A42" s="24"/>
      <c r="B42">
        <v>65629</v>
      </c>
      <c r="C42" s="24">
        <v>43394</v>
      </c>
      <c r="D42" t="s">
        <v>109</v>
      </c>
      <c r="E42">
        <v>8010</v>
      </c>
      <c r="F42">
        <v>103</v>
      </c>
      <c r="H42">
        <v>190</v>
      </c>
      <c r="I42">
        <v>2280</v>
      </c>
    </row>
    <row r="43" spans="1:9" x14ac:dyDescent="0.3">
      <c r="A43" s="24"/>
      <c r="B43">
        <v>65629</v>
      </c>
      <c r="C43" s="24">
        <v>43394</v>
      </c>
      <c r="D43" t="s">
        <v>115</v>
      </c>
      <c r="E43">
        <v>8010</v>
      </c>
      <c r="F43">
        <v>104</v>
      </c>
      <c r="H43">
        <v>130</v>
      </c>
      <c r="I43">
        <v>1560</v>
      </c>
    </row>
    <row r="44" spans="1:9" x14ac:dyDescent="0.3">
      <c r="A44" s="24"/>
      <c r="B44">
        <v>65629</v>
      </c>
      <c r="C44" s="24">
        <v>43394</v>
      </c>
      <c r="D44" t="s">
        <v>111</v>
      </c>
      <c r="E44">
        <v>8010</v>
      </c>
      <c r="F44">
        <v>105</v>
      </c>
      <c r="H44">
        <v>140</v>
      </c>
      <c r="I44">
        <v>1400</v>
      </c>
    </row>
    <row r="45" spans="1:9" x14ac:dyDescent="0.3">
      <c r="A45" s="24"/>
      <c r="B45">
        <v>65631</v>
      </c>
      <c r="C45" s="24">
        <v>43394</v>
      </c>
      <c r="D45" t="s">
        <v>105</v>
      </c>
      <c r="E45">
        <v>8020</v>
      </c>
      <c r="F45">
        <v>107</v>
      </c>
      <c r="H45">
        <v>190</v>
      </c>
      <c r="I45">
        <v>950</v>
      </c>
    </row>
    <row r="46" spans="1:9" x14ac:dyDescent="0.3">
      <c r="A46" s="24"/>
      <c r="B46">
        <v>65631</v>
      </c>
      <c r="C46" s="24">
        <v>43394</v>
      </c>
      <c r="D46" t="s">
        <v>110</v>
      </c>
      <c r="E46">
        <v>8020</v>
      </c>
      <c r="F46">
        <v>103</v>
      </c>
      <c r="H46">
        <v>120</v>
      </c>
      <c r="I46">
        <v>1440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AEFD-38BE-4B1E-A3AB-D35966096126}">
  <sheetPr codeName="Sheet3"/>
  <dimension ref="A1:P55"/>
  <sheetViews>
    <sheetView workbookViewId="0">
      <selection activeCell="C12" sqref="C12"/>
    </sheetView>
  </sheetViews>
  <sheetFormatPr defaultColWidth="0" defaultRowHeight="13.2" customHeight="1" zeroHeight="1" x14ac:dyDescent="0.25"/>
  <cols>
    <col min="1" max="1" width="1.44140625" style="20" customWidth="1"/>
    <col min="2" max="2" width="3.109375" style="20" customWidth="1"/>
    <col min="3" max="13" width="9.109375" style="20" customWidth="1"/>
    <col min="14" max="14" width="12.5546875" style="20" customWidth="1"/>
    <col min="15" max="15" width="2.21875" style="20" customWidth="1"/>
    <col min="16" max="16" width="2.5546875" style="20" customWidth="1"/>
    <col min="17" max="16384" width="9" style="1" hidden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1"/>
      <c r="P4" s="11"/>
    </row>
    <row r="5" spans="1:16" ht="17.399999999999999" x14ac:dyDescent="0.3">
      <c r="A5" s="11"/>
      <c r="B5" s="13"/>
      <c r="C5" s="14" t="s">
        <v>61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1"/>
      <c r="P5" s="11"/>
    </row>
    <row r="6" spans="1:16" x14ac:dyDescent="0.25">
      <c r="A6" s="11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1"/>
      <c r="P6" s="11"/>
    </row>
    <row r="7" spans="1:16" x14ac:dyDescent="0.25">
      <c r="A7" s="11"/>
      <c r="B7" s="15"/>
      <c r="C7" s="16" t="s">
        <v>62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1"/>
      <c r="P7" s="11"/>
    </row>
    <row r="8" spans="1:16" x14ac:dyDescent="0.25">
      <c r="A8" s="11"/>
      <c r="B8" s="15"/>
      <c r="C8" s="16" t="s">
        <v>63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1"/>
      <c r="P8" s="11"/>
    </row>
    <row r="9" spans="1:16" x14ac:dyDescent="0.25">
      <c r="A9" s="11"/>
      <c r="B9" s="15"/>
      <c r="C9" s="16" t="s">
        <v>64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1"/>
      <c r="P9" s="11"/>
    </row>
    <row r="10" spans="1:16" x14ac:dyDescent="0.25">
      <c r="A10" s="11"/>
      <c r="B10" s="15"/>
      <c r="C10" s="16" t="s">
        <v>65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1"/>
      <c r="P10" s="11"/>
    </row>
    <row r="11" spans="1:16" x14ac:dyDescent="0.25">
      <c r="A11" s="11"/>
      <c r="B11" s="15"/>
      <c r="C11" s="17" t="s">
        <v>66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1"/>
      <c r="P11" s="11"/>
    </row>
    <row r="12" spans="1:16" x14ac:dyDescent="0.25">
      <c r="A12" s="11"/>
      <c r="B12" s="15"/>
      <c r="C12" s="17" t="s">
        <v>67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1"/>
      <c r="P12" s="11"/>
    </row>
    <row r="13" spans="1:16" x14ac:dyDescent="0.25">
      <c r="A13" s="11"/>
      <c r="B13" s="15"/>
      <c r="C13" s="16" t="s">
        <v>68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1"/>
      <c r="P13" s="11"/>
    </row>
    <row r="14" spans="1:16" x14ac:dyDescent="0.25">
      <c r="A14" s="1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1"/>
      <c r="P14" s="11"/>
    </row>
    <row r="15" spans="1:16" ht="17.399999999999999" x14ac:dyDescent="0.3">
      <c r="A15" s="11"/>
      <c r="B15" s="15"/>
      <c r="C15" s="14" t="s">
        <v>69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1"/>
      <c r="P15" s="11"/>
    </row>
    <row r="16" spans="1:16" x14ac:dyDescent="0.25">
      <c r="A16" s="11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1"/>
      <c r="P16" s="11"/>
    </row>
    <row r="17" spans="1:16" x14ac:dyDescent="0.25">
      <c r="A17" s="11"/>
      <c r="B17" s="15"/>
      <c r="C17" s="15" t="s">
        <v>70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1"/>
      <c r="P17" s="11"/>
    </row>
    <row r="18" spans="1:16" x14ac:dyDescent="0.25">
      <c r="A18" s="11"/>
      <c r="B18" s="15"/>
      <c r="C18" s="15" t="s">
        <v>71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1"/>
      <c r="P18" s="11"/>
    </row>
    <row r="19" spans="1:16" x14ac:dyDescent="0.25">
      <c r="A19" s="11"/>
      <c r="B19" s="12"/>
      <c r="C19" s="15" t="s">
        <v>72</v>
      </c>
      <c r="D19" s="18"/>
      <c r="E19" s="12"/>
      <c r="F19" s="12"/>
      <c r="G19" s="15"/>
      <c r="H19" s="15"/>
      <c r="I19" s="15"/>
      <c r="J19" s="15"/>
      <c r="K19" s="15"/>
      <c r="L19" s="15"/>
      <c r="M19" s="15"/>
      <c r="N19" s="15"/>
      <c r="O19" s="11"/>
      <c r="P19" s="11"/>
    </row>
    <row r="20" spans="1:16" x14ac:dyDescent="0.25">
      <c r="A20" s="11"/>
      <c r="B20" s="15"/>
      <c r="C20" s="15" t="s">
        <v>73</v>
      </c>
      <c r="D20" s="16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1"/>
      <c r="P20" s="11"/>
    </row>
    <row r="21" spans="1:16" x14ac:dyDescent="0.25">
      <c r="A21" s="11"/>
      <c r="B21" s="15"/>
      <c r="C21" s="15" t="s">
        <v>74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1"/>
      <c r="P21" s="11"/>
    </row>
    <row r="22" spans="1:16" x14ac:dyDescent="0.25">
      <c r="A22" s="11"/>
      <c r="B22" s="15"/>
      <c r="C22" s="15" t="s">
        <v>75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1"/>
      <c r="P22" s="11"/>
    </row>
    <row r="23" spans="1:16" x14ac:dyDescent="0.25">
      <c r="A23" s="11"/>
      <c r="B23" s="15"/>
      <c r="C23" s="15" t="s">
        <v>76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1"/>
      <c r="P23" s="11"/>
    </row>
    <row r="24" spans="1:16" x14ac:dyDescent="0.25">
      <c r="A24" s="11"/>
      <c r="B24" s="15"/>
      <c r="C24" s="15" t="s">
        <v>77</v>
      </c>
      <c r="D24" s="16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1"/>
      <c r="P24" s="11"/>
    </row>
    <row r="25" spans="1:16" x14ac:dyDescent="0.25">
      <c r="A25" s="11"/>
      <c r="B25" s="15"/>
      <c r="C25" s="19" t="s">
        <v>78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1"/>
      <c r="P25" s="11"/>
    </row>
    <row r="26" spans="1:16" x14ac:dyDescent="0.25">
      <c r="A26" s="11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1"/>
      <c r="P26" s="11"/>
    </row>
    <row r="27" spans="1:16" x14ac:dyDescent="0.25">
      <c r="A27" s="11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1"/>
      <c r="P27" s="11"/>
    </row>
    <row r="28" spans="1:16" ht="17.399999999999999" x14ac:dyDescent="0.3">
      <c r="A28" s="11"/>
      <c r="B28" s="15"/>
      <c r="C28" s="14" t="s">
        <v>79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1"/>
      <c r="P28" s="11"/>
    </row>
    <row r="29" spans="1:16" x14ac:dyDescent="0.25">
      <c r="A29" s="11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1"/>
      <c r="P29" s="11"/>
    </row>
    <row r="30" spans="1:16" x14ac:dyDescent="0.25">
      <c r="A30" s="11"/>
      <c r="B30" s="15"/>
      <c r="C30" s="15" t="s">
        <v>80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1"/>
      <c r="P30" s="11"/>
    </row>
    <row r="31" spans="1:16" x14ac:dyDescent="0.25">
      <c r="A31" s="11"/>
      <c r="B31" s="15"/>
      <c r="C31" s="15" t="s">
        <v>81</v>
      </c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1"/>
      <c r="P31" s="11"/>
    </row>
    <row r="32" spans="1:16" x14ac:dyDescent="0.25">
      <c r="A32" s="11"/>
      <c r="B32" s="15"/>
      <c r="C32" s="20" t="s">
        <v>82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1"/>
      <c r="P32" s="11"/>
    </row>
    <row r="33" spans="1:16" x14ac:dyDescent="0.25">
      <c r="A33" s="11"/>
      <c r="B33" s="15"/>
      <c r="C33" s="15" t="s">
        <v>83</v>
      </c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1"/>
      <c r="P33" s="11"/>
    </row>
    <row r="34" spans="1:16" x14ac:dyDescent="0.25">
      <c r="A34" s="11"/>
      <c r="B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1"/>
      <c r="P34" s="11"/>
    </row>
    <row r="35" spans="1:16" x14ac:dyDescent="0.25">
      <c r="A35" s="11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1"/>
      <c r="P35" s="11"/>
    </row>
    <row r="36" spans="1:16" x14ac:dyDescent="0.25">
      <c r="A36" s="11"/>
      <c r="B36" s="15"/>
      <c r="C36" s="21" t="s">
        <v>84</v>
      </c>
      <c r="D36" s="16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1"/>
      <c r="P36" s="11"/>
    </row>
    <row r="37" spans="1:16" x14ac:dyDescent="0.25">
      <c r="A37" s="11"/>
      <c r="B37" s="15"/>
      <c r="C37" s="15"/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1"/>
      <c r="P37" s="11"/>
    </row>
    <row r="38" spans="1:16" ht="13.8" x14ac:dyDescent="0.25">
      <c r="A38" s="11"/>
      <c r="B38" s="15"/>
      <c r="C38" s="22" t="s">
        <v>85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1"/>
      <c r="P38" s="11"/>
    </row>
    <row r="39" spans="1:16" ht="13.8" x14ac:dyDescent="0.25">
      <c r="A39" s="11"/>
      <c r="B39" s="15"/>
      <c r="C39" s="22" t="s">
        <v>86</v>
      </c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1"/>
      <c r="P39" s="11"/>
    </row>
    <row r="40" spans="1:16" ht="13.8" x14ac:dyDescent="0.25">
      <c r="A40" s="11"/>
      <c r="B40" s="15"/>
      <c r="C40" s="22" t="s">
        <v>87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1"/>
      <c r="P40" s="11"/>
    </row>
    <row r="41" spans="1:16" x14ac:dyDescent="0.25">
      <c r="A41" s="11"/>
      <c r="B41" s="15"/>
      <c r="C41" s="15"/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1"/>
      <c r="P41" s="11"/>
    </row>
    <row r="42" spans="1:16" x14ac:dyDescent="0.25">
      <c r="A42" s="11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1"/>
      <c r="P42" s="11"/>
    </row>
    <row r="43" spans="1:16" x14ac:dyDescent="0.25">
      <c r="A43" s="11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1"/>
      <c r="P43" s="11"/>
    </row>
    <row r="44" spans="1:16" ht="17.399999999999999" x14ac:dyDescent="0.3">
      <c r="A44" s="11"/>
      <c r="B44" s="15"/>
      <c r="C44" s="14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1"/>
      <c r="P44" s="11"/>
    </row>
    <row r="45" spans="1:16" x14ac:dyDescent="0.25">
      <c r="A45" s="11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1"/>
      <c r="P45" s="11"/>
    </row>
    <row r="46" spans="1:16" x14ac:dyDescent="0.25">
      <c r="A46" s="11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1"/>
      <c r="P46" s="11"/>
    </row>
    <row r="47" spans="1:16" x14ac:dyDescent="0.25">
      <c r="A47" s="11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1"/>
      <c r="P47" s="11"/>
    </row>
    <row r="48" spans="1:16" x14ac:dyDescent="0.25">
      <c r="A48" s="11"/>
      <c r="B48" s="15"/>
      <c r="C48" s="15"/>
      <c r="D48" s="16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1"/>
      <c r="P48" s="11"/>
    </row>
    <row r="49" spans="1:16" x14ac:dyDescent="0.25">
      <c r="A49" s="11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1"/>
      <c r="P49" s="11"/>
    </row>
    <row r="50" spans="1:16" ht="17.399999999999999" x14ac:dyDescent="0.3">
      <c r="A50" s="11"/>
      <c r="B50" s="15"/>
      <c r="C50" s="14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1"/>
      <c r="P50" s="11"/>
    </row>
    <row r="51" spans="1:16" x14ac:dyDescent="0.25">
      <c r="A51" s="11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1"/>
      <c r="P51" s="11"/>
    </row>
    <row r="52" spans="1:16" x14ac:dyDescent="0.25">
      <c r="A52" s="11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1"/>
      <c r="P52" s="11"/>
    </row>
    <row r="53" spans="1:16" x14ac:dyDescent="0.25">
      <c r="A53" s="11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11"/>
      <c r="P53" s="11"/>
    </row>
    <row r="54" spans="1:16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Start</vt:lpstr>
      <vt:lpstr>Summary</vt:lpstr>
      <vt:lpstr>RegionTemp</vt:lpstr>
      <vt:lpstr>Map</vt:lpstr>
      <vt:lpstr>NewData</vt:lpstr>
      <vt:lpstr>Instructions</vt:lpstr>
      <vt:lpstr>MRegion</vt:lpstr>
      <vt:lpstr>TableTemp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 Rogowska</dc:creator>
  <cp:lastModifiedBy>Monika Rogowska</cp:lastModifiedBy>
  <dcterms:created xsi:type="dcterms:W3CDTF">2023-04-25T10:22:38Z</dcterms:created>
  <dcterms:modified xsi:type="dcterms:W3CDTF">2023-05-10T07:25:57Z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51b6a3c-9653-4b9d-a368-8ad34e59941e_Enabled">
    <vt:lpwstr>true</vt:lpwstr>
  </property>
  <property fmtid="{D5CDD505-2E9C-101B-9397-08002B2CF9AE}" pid="3" name="MSIP_Label_f51b6a3c-9653-4b9d-a368-8ad34e59941e_SetDate">
    <vt:lpwstr>2023-04-25T10:22:45Z</vt:lpwstr>
  </property>
  <property fmtid="{D5CDD505-2E9C-101B-9397-08002B2CF9AE}" pid="4" name="MSIP_Label_f51b6a3c-9653-4b9d-a368-8ad34e59941e_Method">
    <vt:lpwstr>Standard</vt:lpwstr>
  </property>
  <property fmtid="{D5CDD505-2E9C-101B-9397-08002B2CF9AE}" pid="5" name="MSIP_Label_f51b6a3c-9653-4b9d-a368-8ad34e59941e_Name">
    <vt:lpwstr>C2 - Internal</vt:lpwstr>
  </property>
  <property fmtid="{D5CDD505-2E9C-101B-9397-08002B2CF9AE}" pid="6" name="MSIP_Label_f51b6a3c-9653-4b9d-a368-8ad34e59941e_SiteId">
    <vt:lpwstr>fc258a8c-94ee-43c8-856d-84718056010a</vt:lpwstr>
  </property>
  <property fmtid="{D5CDD505-2E9C-101B-9397-08002B2CF9AE}" pid="7" name="MSIP_Label_f51b6a3c-9653-4b9d-a368-8ad34e59941e_ActionId">
    <vt:lpwstr>a987e430-9af4-49cd-becf-183e50b4b335</vt:lpwstr>
  </property>
  <property fmtid="{D5CDD505-2E9C-101B-9397-08002B2CF9AE}" pid="8" name="MSIP_Label_f51b6a3c-9653-4b9d-a368-8ad34e59941e_ContentBits">
    <vt:lpwstr>1</vt:lpwstr>
  </property>
</Properties>
</file>